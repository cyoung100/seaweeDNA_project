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mesocosm\"/>
    </mc:Choice>
  </mc:AlternateContent>
  <xr:revisionPtr revIDLastSave="0" documentId="8_{5AF169CE-7452-4E5E-889B-DC2EFDF8AC95}" xr6:coauthVersionLast="47" xr6:coauthVersionMax="47" xr10:uidLastSave="{00000000-0000-0000-0000-000000000000}"/>
  <bookViews>
    <workbookView xWindow="-98" yWindow="-98" windowWidth="21795" windowHeight="11625" firstSheet="1" activeTab="1" xr2:uid="{14CEA438-DF73-40A9-9CD4-5CE82D70C5C8}"/>
  </bookViews>
  <sheets>
    <sheet name="Sheet1" sheetId="1" r:id="rId1"/>
    <sheet name="response_data" sheetId="2" r:id="rId2"/>
    <sheet name="tanks" sheetId="6" r:id="rId3"/>
    <sheet name="tank_pH" sheetId="7" r:id="rId4"/>
    <sheet name="unknown" sheetId="4" r:id="rId5"/>
    <sheet name="kilchoan_young" sheetId="3" r:id="rId6"/>
  </sheets>
  <externalReferences>
    <externalReference r:id="rId7"/>
  </externalReferences>
  <definedNames>
    <definedName name="_xlnm._FilterDatabase" localSheetId="5" hidden="1">kilchoan_young!$A$1:$K$86</definedName>
    <definedName name="_xlnm._FilterDatabase" localSheetId="1" hidden="1">response_data!$A$1:$P$1326</definedName>
    <definedName name="_xlnm._FilterDatabase" localSheetId="0" hidden="1">Sheet1!$B$1:$B$165</definedName>
    <definedName name="_xlnm._FilterDatabase" localSheetId="2" hidden="1">tanks!$A$1:$Q$1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20" i="2" l="1"/>
  <c r="G190" i="6"/>
  <c r="G189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M1326" i="2"/>
  <c r="C1326" i="2"/>
  <c r="M1325" i="2"/>
  <c r="C1325" i="2"/>
  <c r="M1324" i="2"/>
  <c r="C1324" i="2"/>
  <c r="M1323" i="2"/>
  <c r="C1323" i="2"/>
  <c r="M1322" i="2"/>
  <c r="C1322" i="2"/>
  <c r="M1321" i="2"/>
  <c r="C1321" i="2"/>
  <c r="C1320" i="2"/>
  <c r="M1319" i="2"/>
  <c r="C1319" i="2"/>
  <c r="M1318" i="2"/>
  <c r="C1318" i="2"/>
  <c r="M1317" i="2"/>
  <c r="C1317" i="2"/>
  <c r="M1316" i="2"/>
  <c r="C1316" i="2"/>
  <c r="M1315" i="2"/>
  <c r="C1315" i="2"/>
  <c r="M1314" i="2"/>
  <c r="C1314" i="2"/>
  <c r="M1313" i="2"/>
  <c r="C1313" i="2"/>
  <c r="M1312" i="2"/>
  <c r="C1312" i="2"/>
  <c r="M1311" i="2"/>
  <c r="C1311" i="2"/>
  <c r="M1310" i="2"/>
  <c r="C1310" i="2"/>
  <c r="M1309" i="2"/>
  <c r="C1309" i="2"/>
  <c r="M1308" i="2"/>
  <c r="C1308" i="2"/>
  <c r="M1307" i="2"/>
  <c r="C1307" i="2"/>
  <c r="M1306" i="2"/>
  <c r="C1306" i="2"/>
  <c r="M1305" i="2"/>
  <c r="C1305" i="2"/>
  <c r="M1304" i="2"/>
  <c r="C1304" i="2"/>
  <c r="M1303" i="2"/>
  <c r="C1303" i="2"/>
  <c r="M1302" i="2"/>
  <c r="C1302" i="2"/>
  <c r="M1301" i="2"/>
  <c r="C1301" i="2"/>
  <c r="M1300" i="2"/>
  <c r="C1300" i="2"/>
  <c r="M1299" i="2"/>
  <c r="C1299" i="2"/>
  <c r="M1298" i="2"/>
  <c r="C1298" i="2"/>
  <c r="M1297" i="2"/>
  <c r="C1297" i="2"/>
  <c r="M1296" i="2"/>
  <c r="C1296" i="2"/>
  <c r="M1295" i="2"/>
  <c r="C1295" i="2"/>
  <c r="M1294" i="2"/>
  <c r="C1294" i="2"/>
  <c r="M1293" i="2"/>
  <c r="C1293" i="2"/>
  <c r="M1292" i="2"/>
  <c r="C1292" i="2"/>
  <c r="M1291" i="2"/>
  <c r="C1291" i="2"/>
  <c r="M1290" i="2"/>
  <c r="C1290" i="2"/>
  <c r="M1289" i="2"/>
  <c r="C1289" i="2"/>
  <c r="M1288" i="2"/>
  <c r="C1288" i="2"/>
  <c r="M1287" i="2"/>
  <c r="C1287" i="2"/>
  <c r="M1286" i="2"/>
  <c r="C1286" i="2"/>
  <c r="M1285" i="2"/>
  <c r="C1285" i="2"/>
  <c r="M1284" i="2"/>
  <c r="C1284" i="2"/>
  <c r="M1283" i="2"/>
  <c r="C1283" i="2"/>
  <c r="M1282" i="2"/>
  <c r="C1282" i="2"/>
  <c r="M1281" i="2"/>
  <c r="C1281" i="2"/>
  <c r="M1280" i="2"/>
  <c r="C1280" i="2"/>
  <c r="M1279" i="2"/>
  <c r="C1279" i="2"/>
  <c r="M1278" i="2"/>
  <c r="C1278" i="2"/>
  <c r="M1277" i="2"/>
  <c r="C1277" i="2"/>
  <c r="M1276" i="2"/>
  <c r="C1276" i="2"/>
  <c r="M1275" i="2"/>
  <c r="C1275" i="2"/>
  <c r="M1274" i="2"/>
  <c r="C1274" i="2"/>
  <c r="M1273" i="2"/>
  <c r="C1273" i="2"/>
  <c r="M1272" i="2"/>
  <c r="C1272" i="2"/>
  <c r="M1271" i="2"/>
  <c r="C1271" i="2"/>
  <c r="M1270" i="2"/>
  <c r="C1270" i="2"/>
  <c r="M1269" i="2"/>
  <c r="C1269" i="2"/>
  <c r="M1268" i="2"/>
  <c r="C1268" i="2"/>
  <c r="M1267" i="2"/>
  <c r="C1267" i="2"/>
  <c r="M1266" i="2"/>
  <c r="C1266" i="2"/>
  <c r="M1265" i="2"/>
  <c r="C1265" i="2"/>
  <c r="M1264" i="2"/>
  <c r="C1264" i="2"/>
  <c r="M1263" i="2"/>
  <c r="C1263" i="2"/>
  <c r="M1262" i="2"/>
  <c r="C1262" i="2"/>
  <c r="M1261" i="2"/>
  <c r="C1261" i="2"/>
  <c r="M1260" i="2"/>
  <c r="C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C1072" i="2"/>
  <c r="M1071" i="2"/>
  <c r="C1071" i="2"/>
  <c r="M1070" i="2"/>
  <c r="C1070" i="2"/>
  <c r="M1069" i="2"/>
  <c r="C1069" i="2"/>
  <c r="M1068" i="2"/>
  <c r="C1068" i="2"/>
  <c r="M1067" i="2"/>
  <c r="C1067" i="2"/>
  <c r="M1066" i="2"/>
  <c r="C1066" i="2"/>
  <c r="M1065" i="2"/>
  <c r="C1065" i="2"/>
  <c r="M1064" i="2"/>
  <c r="C1064" i="2"/>
  <c r="M1063" i="2"/>
  <c r="C1063" i="2"/>
  <c r="M1062" i="2"/>
  <c r="C1062" i="2"/>
  <c r="M1061" i="2"/>
  <c r="C1061" i="2"/>
  <c r="M1060" i="2"/>
  <c r="C1060" i="2"/>
  <c r="M1059" i="2"/>
  <c r="C1059" i="2"/>
  <c r="M1058" i="2"/>
  <c r="C1058" i="2"/>
  <c r="M1057" i="2"/>
  <c r="C1057" i="2"/>
  <c r="M1056" i="2"/>
  <c r="C1056" i="2"/>
  <c r="M1055" i="2"/>
  <c r="C1055" i="2"/>
  <c r="M1054" i="2"/>
  <c r="C1054" i="2"/>
  <c r="M1053" i="2"/>
  <c r="C1053" i="2"/>
  <c r="M1052" i="2"/>
  <c r="C1052" i="2"/>
  <c r="M1051" i="2"/>
  <c r="C1051" i="2"/>
  <c r="M1050" i="2"/>
  <c r="C1050" i="2"/>
  <c r="M1049" i="2"/>
  <c r="C1049" i="2"/>
  <c r="M1048" i="2"/>
  <c r="C1048" i="2"/>
  <c r="M1047" i="2"/>
  <c r="C1047" i="2"/>
  <c r="M1046" i="2"/>
  <c r="C1046" i="2"/>
  <c r="M1045" i="2"/>
  <c r="C1045" i="2"/>
  <c r="M1044" i="2"/>
  <c r="C1044" i="2"/>
  <c r="M1043" i="2"/>
  <c r="C1043" i="2"/>
  <c r="M1042" i="2"/>
  <c r="C1042" i="2"/>
  <c r="M1041" i="2"/>
  <c r="C1041" i="2"/>
  <c r="M1040" i="2"/>
  <c r="C1040" i="2"/>
  <c r="M1039" i="2"/>
  <c r="C1039" i="2"/>
  <c r="M1038" i="2"/>
  <c r="C1038" i="2"/>
  <c r="M1037" i="2"/>
  <c r="C1037" i="2"/>
  <c r="M1036" i="2"/>
  <c r="C1036" i="2"/>
  <c r="M1035" i="2"/>
  <c r="C1035" i="2"/>
  <c r="M1034" i="2"/>
  <c r="C1034" i="2"/>
  <c r="M1033" i="2"/>
  <c r="C1033" i="2"/>
  <c r="M1032" i="2"/>
  <c r="C1032" i="2"/>
  <c r="M1031" i="2"/>
  <c r="C1031" i="2"/>
  <c r="M1030" i="2"/>
  <c r="C1030" i="2"/>
  <c r="M1029" i="2"/>
  <c r="C1029" i="2"/>
  <c r="M1028" i="2"/>
  <c r="C1028" i="2"/>
  <c r="M1027" i="2"/>
  <c r="C1027" i="2"/>
  <c r="M1026" i="2"/>
  <c r="C1026" i="2"/>
  <c r="M1025" i="2"/>
  <c r="C1025" i="2"/>
  <c r="M1024" i="2"/>
  <c r="C1024" i="2"/>
  <c r="M1023" i="2"/>
  <c r="C1023" i="2"/>
  <c r="M1022" i="2"/>
  <c r="C1022" i="2"/>
  <c r="M1021" i="2"/>
  <c r="C1021" i="2"/>
  <c r="M1020" i="2"/>
  <c r="C1020" i="2"/>
  <c r="M1019" i="2"/>
  <c r="C1019" i="2"/>
  <c r="M1018" i="2"/>
  <c r="C1018" i="2"/>
  <c r="M1017" i="2"/>
  <c r="C1017" i="2"/>
  <c r="M1016" i="2"/>
  <c r="C1016" i="2"/>
  <c r="M1015" i="2"/>
  <c r="C1015" i="2"/>
  <c r="M1014" i="2"/>
  <c r="C1014" i="2"/>
  <c r="M1013" i="2"/>
  <c r="C1013" i="2"/>
  <c r="M1012" i="2"/>
  <c r="C1012" i="2"/>
  <c r="M1011" i="2"/>
  <c r="C1011" i="2"/>
  <c r="M1010" i="2"/>
  <c r="C1010" i="2"/>
  <c r="M1009" i="2"/>
  <c r="C1009" i="2"/>
  <c r="M1008" i="2"/>
  <c r="C1008" i="2"/>
  <c r="M1007" i="2"/>
  <c r="C1007" i="2"/>
  <c r="M1006" i="2"/>
  <c r="C1006" i="2"/>
  <c r="M1005" i="2"/>
  <c r="C1005" i="2"/>
  <c r="M1004" i="2"/>
  <c r="C1004" i="2"/>
  <c r="M1003" i="2"/>
  <c r="C1003" i="2"/>
  <c r="M1002" i="2"/>
  <c r="C1002" i="2"/>
  <c r="M1001" i="2"/>
  <c r="C1001" i="2"/>
  <c r="M1000" i="2"/>
  <c r="C1000" i="2"/>
  <c r="M999" i="2"/>
  <c r="C999" i="2"/>
  <c r="M998" i="2"/>
  <c r="C998" i="2"/>
  <c r="M997" i="2"/>
  <c r="C997" i="2"/>
  <c r="M996" i="2"/>
  <c r="C996" i="2"/>
  <c r="M995" i="2"/>
  <c r="C995" i="2"/>
  <c r="M994" i="2"/>
  <c r="C994" i="2"/>
  <c r="M993" i="2"/>
  <c r="C993" i="2"/>
  <c r="M992" i="2"/>
  <c r="C992" i="2"/>
  <c r="M991" i="2"/>
  <c r="C991" i="2"/>
  <c r="M990" i="2"/>
  <c r="C990" i="2"/>
  <c r="M989" i="2"/>
  <c r="C989" i="2"/>
  <c r="M988" i="2"/>
  <c r="C988" i="2"/>
  <c r="M987" i="2"/>
  <c r="C987" i="2"/>
  <c r="M986" i="2"/>
  <c r="C986" i="2"/>
  <c r="M985" i="2"/>
  <c r="C985" i="2"/>
  <c r="M984" i="2"/>
  <c r="C984" i="2"/>
  <c r="M983" i="2"/>
  <c r="C983" i="2"/>
  <c r="M982" i="2"/>
  <c r="C982" i="2"/>
  <c r="M981" i="2"/>
  <c r="C981" i="2"/>
  <c r="M980" i="2"/>
  <c r="C980" i="2"/>
  <c r="M979" i="2"/>
  <c r="C979" i="2"/>
  <c r="M978" i="2"/>
  <c r="C978" i="2"/>
  <c r="M977" i="2"/>
  <c r="C977" i="2"/>
  <c r="M976" i="2"/>
  <c r="C976" i="2"/>
  <c r="M975" i="2"/>
  <c r="C975" i="2"/>
  <c r="M974" i="2"/>
  <c r="C974" i="2"/>
  <c r="M973" i="2"/>
  <c r="C973" i="2"/>
  <c r="M972" i="2"/>
  <c r="C972" i="2"/>
  <c r="M971" i="2"/>
  <c r="C971" i="2"/>
  <c r="M970" i="2"/>
  <c r="C970" i="2"/>
  <c r="M969" i="2"/>
  <c r="C969" i="2"/>
  <c r="M968" i="2"/>
  <c r="C968" i="2"/>
  <c r="M967" i="2"/>
  <c r="C967" i="2"/>
  <c r="M966" i="2"/>
  <c r="C966" i="2"/>
  <c r="M965" i="2"/>
  <c r="C965" i="2"/>
  <c r="M964" i="2"/>
  <c r="C964" i="2"/>
  <c r="M963" i="2"/>
  <c r="C963" i="2"/>
  <c r="M962" i="2"/>
  <c r="C962" i="2"/>
  <c r="M961" i="2"/>
  <c r="C961" i="2"/>
  <c r="M960" i="2"/>
  <c r="C960" i="2"/>
  <c r="M959" i="2"/>
  <c r="C959" i="2"/>
  <c r="M958" i="2"/>
  <c r="C958" i="2"/>
  <c r="M957" i="2"/>
  <c r="C957" i="2"/>
  <c r="M956" i="2"/>
  <c r="C956" i="2"/>
  <c r="M955" i="2"/>
  <c r="C955" i="2"/>
  <c r="M954" i="2"/>
  <c r="C954" i="2"/>
  <c r="M953" i="2"/>
  <c r="C953" i="2"/>
  <c r="M952" i="2"/>
  <c r="C952" i="2"/>
  <c r="M951" i="2"/>
  <c r="C951" i="2"/>
  <c r="M950" i="2"/>
  <c r="C950" i="2"/>
  <c r="M949" i="2"/>
  <c r="C949" i="2"/>
  <c r="M948" i="2"/>
  <c r="C948" i="2"/>
  <c r="M947" i="2"/>
  <c r="C947" i="2"/>
  <c r="M946" i="2"/>
  <c r="C946" i="2"/>
  <c r="M945" i="2"/>
  <c r="C945" i="2"/>
  <c r="M944" i="2"/>
  <c r="C944" i="2"/>
  <c r="M943" i="2"/>
  <c r="C943" i="2"/>
  <c r="M942" i="2"/>
  <c r="C942" i="2"/>
  <c r="M941" i="2"/>
  <c r="C941" i="2"/>
  <c r="M940" i="2"/>
  <c r="C940" i="2"/>
  <c r="M939" i="2"/>
  <c r="C939" i="2"/>
  <c r="M938" i="2"/>
  <c r="C938" i="2"/>
  <c r="M937" i="2"/>
  <c r="C937" i="2"/>
  <c r="M936" i="2"/>
  <c r="C936" i="2"/>
  <c r="M935" i="2"/>
  <c r="C935" i="2"/>
  <c r="M934" i="2"/>
  <c r="C934" i="2"/>
  <c r="M933" i="2"/>
  <c r="C933" i="2"/>
  <c r="M932" i="2"/>
  <c r="C932" i="2"/>
  <c r="M931" i="2"/>
  <c r="C931" i="2"/>
  <c r="M930" i="2"/>
  <c r="C930" i="2"/>
  <c r="M929" i="2"/>
  <c r="C929" i="2"/>
  <c r="M928" i="2"/>
  <c r="C928" i="2"/>
  <c r="M927" i="2"/>
  <c r="C927" i="2"/>
  <c r="M926" i="2"/>
  <c r="C926" i="2"/>
  <c r="M925" i="2"/>
  <c r="C925" i="2"/>
  <c r="M924" i="2"/>
  <c r="C924" i="2"/>
  <c r="M923" i="2"/>
  <c r="C923" i="2"/>
  <c r="M922" i="2"/>
  <c r="C922" i="2"/>
  <c r="M921" i="2"/>
  <c r="C921" i="2"/>
  <c r="M920" i="2"/>
  <c r="C920" i="2"/>
  <c r="M919" i="2"/>
  <c r="C919" i="2"/>
  <c r="M918" i="2"/>
  <c r="C918" i="2"/>
  <c r="M917" i="2"/>
  <c r="C917" i="2"/>
  <c r="M916" i="2"/>
  <c r="C916" i="2"/>
  <c r="M915" i="2"/>
  <c r="C915" i="2"/>
  <c r="M914" i="2"/>
  <c r="C914" i="2"/>
  <c r="M913" i="2"/>
  <c r="C913" i="2"/>
  <c r="M912" i="2"/>
  <c r="C912" i="2"/>
  <c r="M911" i="2"/>
  <c r="C911" i="2"/>
  <c r="M910" i="2"/>
  <c r="C910" i="2"/>
  <c r="M909" i="2"/>
  <c r="C909" i="2"/>
  <c r="M908" i="2"/>
  <c r="C908" i="2"/>
  <c r="M907" i="2"/>
  <c r="C907" i="2"/>
  <c r="M906" i="2"/>
  <c r="C906" i="2"/>
  <c r="M905" i="2"/>
  <c r="C905" i="2"/>
  <c r="M904" i="2"/>
  <c r="C904" i="2"/>
  <c r="M903" i="2"/>
  <c r="C903" i="2"/>
  <c r="M902" i="2"/>
  <c r="C902" i="2"/>
  <c r="M901" i="2"/>
  <c r="C901" i="2"/>
  <c r="M900" i="2"/>
  <c r="C900" i="2"/>
  <c r="M899" i="2"/>
  <c r="C899" i="2"/>
  <c r="M898" i="2"/>
  <c r="C898" i="2"/>
  <c r="M897" i="2"/>
  <c r="C897" i="2"/>
  <c r="M896" i="2"/>
  <c r="C896" i="2"/>
  <c r="M895" i="2"/>
  <c r="C895" i="2"/>
  <c r="M894" i="2"/>
  <c r="C894" i="2"/>
  <c r="M893" i="2"/>
  <c r="C893" i="2"/>
  <c r="M892" i="2"/>
  <c r="C892" i="2"/>
  <c r="M891" i="2"/>
  <c r="C891" i="2"/>
  <c r="M890" i="2"/>
  <c r="C890" i="2"/>
  <c r="M889" i="2"/>
  <c r="C889" i="2"/>
  <c r="M888" i="2"/>
  <c r="C888" i="2"/>
  <c r="M887" i="2"/>
  <c r="C887" i="2"/>
  <c r="M886" i="2"/>
  <c r="C886" i="2"/>
  <c r="M885" i="2"/>
  <c r="C885" i="2"/>
  <c r="M884" i="2"/>
  <c r="C884" i="2"/>
  <c r="M883" i="2"/>
  <c r="C883" i="2"/>
  <c r="M882" i="2"/>
  <c r="C882" i="2"/>
  <c r="M881" i="2"/>
  <c r="C881" i="2"/>
  <c r="M880" i="2"/>
  <c r="C880" i="2"/>
  <c r="M879" i="2"/>
  <c r="C879" i="2"/>
  <c r="M878" i="2"/>
  <c r="C878" i="2"/>
  <c r="M877" i="2"/>
  <c r="C877" i="2"/>
  <c r="M876" i="2"/>
  <c r="C876" i="2"/>
  <c r="M875" i="2"/>
  <c r="C875" i="2"/>
  <c r="M874" i="2"/>
  <c r="C874" i="2"/>
  <c r="M873" i="2"/>
  <c r="C873" i="2"/>
  <c r="M872" i="2"/>
  <c r="C872" i="2"/>
  <c r="M871" i="2"/>
  <c r="C871" i="2"/>
  <c r="M870" i="2"/>
  <c r="C870" i="2"/>
  <c r="M869" i="2"/>
  <c r="C869" i="2"/>
  <c r="M868" i="2"/>
  <c r="C868" i="2"/>
  <c r="M867" i="2"/>
  <c r="C867" i="2"/>
  <c r="M866" i="2"/>
  <c r="C866" i="2"/>
  <c r="M865" i="2"/>
  <c r="C865" i="2"/>
  <c r="M864" i="2"/>
  <c r="C864" i="2"/>
  <c r="M863" i="2"/>
  <c r="C863" i="2"/>
  <c r="M862" i="2"/>
  <c r="C862" i="2"/>
  <c r="M861" i="2"/>
  <c r="C861" i="2"/>
  <c r="M860" i="2"/>
  <c r="C860" i="2"/>
  <c r="M859" i="2"/>
  <c r="C859" i="2"/>
  <c r="M858" i="2"/>
  <c r="C858" i="2"/>
  <c r="M857" i="2"/>
  <c r="C857" i="2"/>
  <c r="M856" i="2"/>
  <c r="C856" i="2"/>
  <c r="M855" i="2"/>
  <c r="C855" i="2"/>
  <c r="M854" i="2"/>
  <c r="C854" i="2"/>
  <c r="M853" i="2"/>
  <c r="C853" i="2"/>
  <c r="M852" i="2"/>
  <c r="C852" i="2"/>
  <c r="M851" i="2"/>
  <c r="C851" i="2"/>
  <c r="M850" i="2"/>
  <c r="C850" i="2"/>
  <c r="M849" i="2"/>
  <c r="C849" i="2"/>
  <c r="M848" i="2"/>
  <c r="C848" i="2"/>
  <c r="M847" i="2"/>
  <c r="C847" i="2"/>
  <c r="M846" i="2"/>
  <c r="C846" i="2"/>
  <c r="M845" i="2"/>
  <c r="C845" i="2"/>
  <c r="M844" i="2"/>
  <c r="C844" i="2"/>
  <c r="M843" i="2"/>
  <c r="C843" i="2"/>
  <c r="M842" i="2"/>
  <c r="C842" i="2"/>
  <c r="M841" i="2"/>
  <c r="C841" i="2"/>
  <c r="M840" i="2"/>
  <c r="C840" i="2"/>
  <c r="M839" i="2"/>
  <c r="C839" i="2"/>
  <c r="M838" i="2"/>
  <c r="C838" i="2"/>
  <c r="M837" i="2"/>
  <c r="C837" i="2"/>
  <c r="M836" i="2"/>
  <c r="C836" i="2"/>
  <c r="M835" i="2"/>
  <c r="C835" i="2"/>
  <c r="M834" i="2"/>
  <c r="C834" i="2"/>
  <c r="M833" i="2"/>
  <c r="C833" i="2"/>
  <c r="M832" i="2"/>
  <c r="C832" i="2"/>
  <c r="M831" i="2"/>
  <c r="C831" i="2"/>
  <c r="M830" i="2"/>
  <c r="C830" i="2"/>
  <c r="M829" i="2"/>
  <c r="C829" i="2"/>
  <c r="M828" i="2"/>
  <c r="C828" i="2"/>
  <c r="M827" i="2"/>
  <c r="C827" i="2"/>
  <c r="M826" i="2"/>
  <c r="C826" i="2"/>
  <c r="M825" i="2"/>
  <c r="C825" i="2"/>
  <c r="M824" i="2"/>
  <c r="C824" i="2"/>
  <c r="M823" i="2"/>
  <c r="C823" i="2"/>
  <c r="M822" i="2"/>
  <c r="C822" i="2"/>
  <c r="M821" i="2"/>
  <c r="C821" i="2"/>
  <c r="M820" i="2"/>
  <c r="C820" i="2"/>
  <c r="M819" i="2"/>
  <c r="C819" i="2"/>
  <c r="M818" i="2"/>
  <c r="C818" i="2"/>
  <c r="M817" i="2"/>
  <c r="C817" i="2"/>
  <c r="M816" i="2"/>
  <c r="C816" i="2"/>
  <c r="M815" i="2"/>
  <c r="C815" i="2"/>
  <c r="M814" i="2"/>
  <c r="C814" i="2"/>
  <c r="M813" i="2"/>
  <c r="C813" i="2"/>
  <c r="M812" i="2"/>
  <c r="C812" i="2"/>
  <c r="M811" i="2"/>
  <c r="C811" i="2"/>
  <c r="M810" i="2"/>
  <c r="C810" i="2"/>
  <c r="M809" i="2"/>
  <c r="C809" i="2"/>
  <c r="M808" i="2"/>
  <c r="C808" i="2"/>
  <c r="M807" i="2"/>
  <c r="C807" i="2"/>
  <c r="M806" i="2"/>
  <c r="C806" i="2"/>
  <c r="M805" i="2"/>
  <c r="C805" i="2"/>
  <c r="M804" i="2"/>
  <c r="C804" i="2"/>
  <c r="M803" i="2"/>
  <c r="C803" i="2"/>
  <c r="M802" i="2"/>
  <c r="C802" i="2"/>
  <c r="M801" i="2"/>
  <c r="C801" i="2"/>
  <c r="M800" i="2"/>
  <c r="C800" i="2"/>
  <c r="M799" i="2"/>
  <c r="C799" i="2"/>
  <c r="M798" i="2"/>
  <c r="C798" i="2"/>
  <c r="M797" i="2"/>
  <c r="C797" i="2"/>
  <c r="M796" i="2"/>
  <c r="C796" i="2"/>
  <c r="M795" i="2"/>
  <c r="C795" i="2"/>
  <c r="M794" i="2"/>
  <c r="C794" i="2"/>
  <c r="M793" i="2"/>
  <c r="C793" i="2"/>
  <c r="M792" i="2"/>
  <c r="C792" i="2"/>
  <c r="M791" i="2"/>
  <c r="C791" i="2"/>
  <c r="M790" i="2"/>
  <c r="C790" i="2"/>
  <c r="M789" i="2"/>
  <c r="C789" i="2"/>
  <c r="M788" i="2"/>
  <c r="C788" i="2"/>
  <c r="M787" i="2"/>
  <c r="C787" i="2"/>
  <c r="M786" i="2"/>
  <c r="C786" i="2"/>
  <c r="M785" i="2"/>
  <c r="C785" i="2"/>
  <c r="M784" i="2"/>
  <c r="C784" i="2"/>
  <c r="M783" i="2"/>
  <c r="C783" i="2"/>
  <c r="M782" i="2"/>
  <c r="C782" i="2"/>
  <c r="M781" i="2"/>
  <c r="C781" i="2"/>
  <c r="M780" i="2"/>
  <c r="C780" i="2"/>
  <c r="M779" i="2"/>
  <c r="C779" i="2"/>
  <c r="M778" i="2"/>
  <c r="C778" i="2"/>
  <c r="M777" i="2"/>
  <c r="C777" i="2"/>
  <c r="M776" i="2"/>
  <c r="C776" i="2"/>
  <c r="M775" i="2"/>
  <c r="C775" i="2"/>
  <c r="M774" i="2"/>
  <c r="C774" i="2"/>
  <c r="M773" i="2"/>
  <c r="C773" i="2"/>
  <c r="M772" i="2"/>
  <c r="C772" i="2"/>
  <c r="M771" i="2"/>
  <c r="C771" i="2"/>
  <c r="M770" i="2"/>
  <c r="C770" i="2"/>
  <c r="M769" i="2"/>
  <c r="C769" i="2"/>
  <c r="M768" i="2"/>
  <c r="C768" i="2"/>
  <c r="M767" i="2"/>
  <c r="C767" i="2"/>
  <c r="M766" i="2"/>
  <c r="C766" i="2"/>
  <c r="M765" i="2"/>
  <c r="C765" i="2"/>
  <c r="M764" i="2"/>
  <c r="C764" i="2"/>
  <c r="M763" i="2"/>
  <c r="C763" i="2"/>
  <c r="M762" i="2"/>
  <c r="C762" i="2"/>
  <c r="M761" i="2"/>
  <c r="C761" i="2"/>
  <c r="M760" i="2"/>
  <c r="C760" i="2"/>
  <c r="M759" i="2"/>
  <c r="C759" i="2"/>
  <c r="M758" i="2"/>
  <c r="C758" i="2"/>
  <c r="M757" i="2"/>
  <c r="C757" i="2"/>
  <c r="M756" i="2"/>
  <c r="C756" i="2"/>
  <c r="M755" i="2"/>
  <c r="C755" i="2"/>
  <c r="M754" i="2"/>
  <c r="C754" i="2"/>
  <c r="M753" i="2"/>
  <c r="C753" i="2"/>
  <c r="M752" i="2"/>
  <c r="C752" i="2"/>
  <c r="M751" i="2"/>
  <c r="C751" i="2"/>
  <c r="M750" i="2"/>
  <c r="C750" i="2"/>
  <c r="M749" i="2"/>
  <c r="C749" i="2"/>
  <c r="M748" i="2"/>
  <c r="C748" i="2"/>
  <c r="M747" i="2"/>
  <c r="C747" i="2"/>
  <c r="M746" i="2"/>
  <c r="C746" i="2"/>
  <c r="M745" i="2"/>
  <c r="C745" i="2"/>
  <c r="M744" i="2"/>
  <c r="C744" i="2"/>
  <c r="M743" i="2"/>
  <c r="C743" i="2"/>
  <c r="M742" i="2"/>
  <c r="C742" i="2"/>
  <c r="M741" i="2"/>
  <c r="C741" i="2"/>
  <c r="M740" i="2"/>
  <c r="C740" i="2"/>
  <c r="M739" i="2"/>
  <c r="C739" i="2"/>
  <c r="M738" i="2"/>
  <c r="C738" i="2"/>
  <c r="M737" i="2"/>
  <c r="C737" i="2"/>
  <c r="M736" i="2"/>
  <c r="C736" i="2"/>
  <c r="M735" i="2"/>
  <c r="C735" i="2"/>
  <c r="M734" i="2"/>
  <c r="C734" i="2"/>
  <c r="M733" i="2"/>
  <c r="C733" i="2"/>
  <c r="M732" i="2"/>
  <c r="C732" i="2"/>
  <c r="M731" i="2"/>
  <c r="C731" i="2"/>
  <c r="M730" i="2"/>
  <c r="C730" i="2"/>
  <c r="M729" i="2"/>
  <c r="C729" i="2"/>
  <c r="M728" i="2"/>
  <c r="C728" i="2"/>
  <c r="M727" i="2"/>
  <c r="C727" i="2"/>
  <c r="M726" i="2"/>
  <c r="C726" i="2"/>
  <c r="M725" i="2"/>
  <c r="C725" i="2"/>
  <c r="M724" i="2"/>
  <c r="C724" i="2"/>
  <c r="M723" i="2"/>
  <c r="C723" i="2"/>
  <c r="M722" i="2"/>
  <c r="C722" i="2"/>
  <c r="M721" i="2"/>
  <c r="C721" i="2"/>
  <c r="M720" i="2"/>
  <c r="C720" i="2"/>
  <c r="M719" i="2"/>
  <c r="C719" i="2"/>
  <c r="M718" i="2"/>
  <c r="C718" i="2"/>
  <c r="M717" i="2"/>
  <c r="C717" i="2"/>
  <c r="M716" i="2"/>
  <c r="C716" i="2"/>
  <c r="M715" i="2"/>
  <c r="C715" i="2"/>
  <c r="M714" i="2"/>
  <c r="C714" i="2"/>
  <c r="M713" i="2"/>
  <c r="C713" i="2"/>
  <c r="M712" i="2"/>
  <c r="C712" i="2"/>
  <c r="M711" i="2"/>
  <c r="C711" i="2"/>
  <c r="M710" i="2"/>
  <c r="C710" i="2"/>
  <c r="M709" i="2"/>
  <c r="C709" i="2"/>
  <c r="M708" i="2"/>
  <c r="C708" i="2"/>
  <c r="M707" i="2"/>
  <c r="C707" i="2"/>
  <c r="M706" i="2"/>
  <c r="C706" i="2"/>
  <c r="M705" i="2"/>
  <c r="C705" i="2"/>
  <c r="M704" i="2"/>
  <c r="C704" i="2"/>
  <c r="M703" i="2"/>
  <c r="C703" i="2"/>
  <c r="M702" i="2"/>
  <c r="C702" i="2"/>
  <c r="M701" i="2"/>
  <c r="C701" i="2"/>
  <c r="M700" i="2"/>
  <c r="C700" i="2"/>
  <c r="M699" i="2"/>
  <c r="C699" i="2"/>
  <c r="M698" i="2"/>
  <c r="C698" i="2"/>
  <c r="M697" i="2"/>
  <c r="C697" i="2"/>
  <c r="M696" i="2"/>
  <c r="C696" i="2"/>
  <c r="M695" i="2"/>
  <c r="C695" i="2"/>
  <c r="M694" i="2"/>
  <c r="C694" i="2"/>
  <c r="M693" i="2"/>
  <c r="C693" i="2"/>
  <c r="M692" i="2"/>
  <c r="C692" i="2"/>
  <c r="M691" i="2"/>
  <c r="C691" i="2"/>
  <c r="M690" i="2"/>
  <c r="C690" i="2"/>
  <c r="M689" i="2"/>
  <c r="C689" i="2"/>
  <c r="M688" i="2"/>
  <c r="C688" i="2"/>
  <c r="M687" i="2"/>
  <c r="C687" i="2"/>
  <c r="M686" i="2"/>
  <c r="C686" i="2"/>
  <c r="M685" i="2"/>
  <c r="C685" i="2"/>
  <c r="M684" i="2"/>
  <c r="C684" i="2"/>
  <c r="M683" i="2"/>
  <c r="C683" i="2"/>
  <c r="M682" i="2"/>
  <c r="C682" i="2"/>
  <c r="M681" i="2"/>
  <c r="C681" i="2"/>
  <c r="M680" i="2"/>
  <c r="C680" i="2"/>
  <c r="M679" i="2"/>
  <c r="C679" i="2"/>
  <c r="M678" i="2"/>
  <c r="C678" i="2"/>
  <c r="M677" i="2"/>
  <c r="C677" i="2"/>
  <c r="M676" i="2"/>
  <c r="C676" i="2"/>
  <c r="M675" i="2"/>
  <c r="C675" i="2"/>
  <c r="M674" i="2"/>
  <c r="C674" i="2"/>
  <c r="M673" i="2"/>
  <c r="C673" i="2"/>
  <c r="M672" i="2"/>
  <c r="C672" i="2"/>
  <c r="M671" i="2"/>
  <c r="C671" i="2"/>
  <c r="M670" i="2"/>
  <c r="C670" i="2"/>
  <c r="M669" i="2"/>
  <c r="C669" i="2"/>
  <c r="M668" i="2"/>
  <c r="C668" i="2"/>
  <c r="M667" i="2"/>
  <c r="C667" i="2"/>
  <c r="M666" i="2"/>
  <c r="C666" i="2"/>
  <c r="M665" i="2"/>
  <c r="C665" i="2"/>
  <c r="M664" i="2"/>
  <c r="C664" i="2"/>
  <c r="M663" i="2"/>
  <c r="C663" i="2"/>
  <c r="M662" i="2"/>
  <c r="C662" i="2"/>
  <c r="M661" i="2"/>
  <c r="C661" i="2"/>
  <c r="M660" i="2"/>
  <c r="C660" i="2"/>
  <c r="M659" i="2"/>
  <c r="C659" i="2"/>
  <c r="M658" i="2"/>
  <c r="C658" i="2"/>
  <c r="M657" i="2"/>
  <c r="C657" i="2"/>
  <c r="M656" i="2"/>
  <c r="C656" i="2"/>
  <c r="M655" i="2"/>
  <c r="C655" i="2"/>
  <c r="M654" i="2"/>
  <c r="C654" i="2"/>
  <c r="M653" i="2"/>
  <c r="C653" i="2"/>
  <c r="C652" i="2"/>
  <c r="M651" i="2"/>
  <c r="C651" i="2"/>
  <c r="M650" i="2"/>
  <c r="C650" i="2"/>
  <c r="M649" i="2"/>
  <c r="C649" i="2"/>
  <c r="M648" i="2"/>
  <c r="C648" i="2"/>
  <c r="M647" i="2"/>
  <c r="C647" i="2"/>
  <c r="M646" i="2"/>
  <c r="C646" i="2"/>
  <c r="M645" i="2"/>
  <c r="C645" i="2"/>
  <c r="M644" i="2"/>
  <c r="C644" i="2"/>
  <c r="M643" i="2"/>
  <c r="C643" i="2"/>
  <c r="M642" i="2"/>
  <c r="C642" i="2"/>
  <c r="M641" i="2"/>
  <c r="C641" i="2"/>
  <c r="M640" i="2"/>
  <c r="C640" i="2"/>
  <c r="M639" i="2"/>
  <c r="C639" i="2"/>
  <c r="M638" i="2"/>
  <c r="C638" i="2"/>
  <c r="M637" i="2"/>
  <c r="C637" i="2"/>
  <c r="M636" i="2"/>
  <c r="C636" i="2"/>
  <c r="M635" i="2"/>
  <c r="C635" i="2"/>
  <c r="M634" i="2"/>
  <c r="C634" i="2"/>
  <c r="M633" i="2"/>
  <c r="C633" i="2"/>
  <c r="M632" i="2"/>
  <c r="C632" i="2"/>
  <c r="M631" i="2"/>
  <c r="C631" i="2"/>
  <c r="M630" i="2"/>
  <c r="C630" i="2"/>
  <c r="M629" i="2"/>
  <c r="C629" i="2"/>
  <c r="M628" i="2"/>
  <c r="C628" i="2"/>
  <c r="M627" i="2"/>
  <c r="C627" i="2"/>
  <c r="M626" i="2"/>
  <c r="C626" i="2"/>
  <c r="M625" i="2"/>
  <c r="C625" i="2"/>
  <c r="M624" i="2"/>
  <c r="C624" i="2"/>
  <c r="M623" i="2"/>
  <c r="C623" i="2"/>
  <c r="M622" i="2"/>
  <c r="C622" i="2"/>
  <c r="M621" i="2"/>
  <c r="C621" i="2"/>
  <c r="M620" i="2"/>
  <c r="C620" i="2"/>
  <c r="M619" i="2"/>
  <c r="C619" i="2"/>
  <c r="M618" i="2"/>
  <c r="C618" i="2"/>
  <c r="M617" i="2"/>
  <c r="C617" i="2"/>
  <c r="M616" i="2"/>
  <c r="C616" i="2"/>
  <c r="M615" i="2"/>
  <c r="C615" i="2"/>
  <c r="M614" i="2"/>
  <c r="C614" i="2"/>
  <c r="M613" i="2"/>
  <c r="C613" i="2"/>
  <c r="M612" i="2"/>
  <c r="C612" i="2"/>
  <c r="M611" i="2"/>
  <c r="C611" i="2"/>
  <c r="M610" i="2"/>
  <c r="C610" i="2"/>
  <c r="M609" i="2"/>
  <c r="C609" i="2"/>
  <c r="M608" i="2"/>
  <c r="C608" i="2"/>
  <c r="M607" i="2"/>
  <c r="C607" i="2"/>
  <c r="M606" i="2"/>
  <c r="C606" i="2"/>
  <c r="M605" i="2"/>
  <c r="C605" i="2"/>
  <c r="M604" i="2"/>
  <c r="C604" i="2"/>
  <c r="M603" i="2"/>
  <c r="C603" i="2"/>
  <c r="M602" i="2"/>
  <c r="C602" i="2"/>
  <c r="M601" i="2"/>
  <c r="C601" i="2"/>
  <c r="M600" i="2"/>
  <c r="C600" i="2"/>
  <c r="M599" i="2"/>
  <c r="C599" i="2"/>
  <c r="M598" i="2"/>
  <c r="C598" i="2"/>
  <c r="M597" i="2"/>
  <c r="C597" i="2"/>
  <c r="M596" i="2"/>
  <c r="C596" i="2"/>
  <c r="M595" i="2"/>
  <c r="C595" i="2"/>
  <c r="M594" i="2"/>
  <c r="C594" i="2"/>
  <c r="M593" i="2"/>
  <c r="C593" i="2"/>
  <c r="M592" i="2"/>
  <c r="C592" i="2"/>
  <c r="M591" i="2"/>
  <c r="C591" i="2"/>
  <c r="M590" i="2"/>
  <c r="C590" i="2"/>
  <c r="M589" i="2"/>
  <c r="C589" i="2"/>
  <c r="M588" i="2"/>
  <c r="C588" i="2"/>
  <c r="M587" i="2"/>
  <c r="C587" i="2"/>
  <c r="M586" i="2"/>
  <c r="C586" i="2"/>
  <c r="M585" i="2"/>
  <c r="C585" i="2"/>
  <c r="M584" i="2"/>
  <c r="C584" i="2"/>
  <c r="M583" i="2"/>
  <c r="C583" i="2"/>
  <c r="M582" i="2"/>
  <c r="C582" i="2"/>
  <c r="M581" i="2"/>
  <c r="C581" i="2"/>
  <c r="M580" i="2"/>
  <c r="C580" i="2"/>
  <c r="M579" i="2"/>
  <c r="C579" i="2"/>
  <c r="M578" i="2"/>
  <c r="C578" i="2"/>
  <c r="M577" i="2"/>
  <c r="C577" i="2"/>
  <c r="M576" i="2"/>
  <c r="C576" i="2"/>
  <c r="M575" i="2"/>
  <c r="C575" i="2"/>
  <c r="M574" i="2"/>
  <c r="C574" i="2"/>
  <c r="M573" i="2"/>
  <c r="C573" i="2"/>
  <c r="M572" i="2"/>
  <c r="C572" i="2"/>
  <c r="M571" i="2"/>
  <c r="C571" i="2"/>
  <c r="M570" i="2"/>
  <c r="C570" i="2"/>
  <c r="M569" i="2"/>
  <c r="C569" i="2"/>
  <c r="M568" i="2"/>
  <c r="C568" i="2"/>
  <c r="M567" i="2"/>
  <c r="C567" i="2"/>
  <c r="M566" i="2"/>
  <c r="C566" i="2"/>
  <c r="M565" i="2"/>
  <c r="C565" i="2"/>
  <c r="M564" i="2"/>
  <c r="C564" i="2"/>
  <c r="M563" i="2"/>
  <c r="C563" i="2"/>
  <c r="M562" i="2"/>
  <c r="C562" i="2"/>
  <c r="M561" i="2"/>
  <c r="C561" i="2"/>
  <c r="M560" i="2"/>
  <c r="C560" i="2"/>
  <c r="M559" i="2"/>
  <c r="C559" i="2"/>
  <c r="M558" i="2"/>
  <c r="C558" i="2"/>
  <c r="M557" i="2"/>
  <c r="C557" i="2"/>
  <c r="M556" i="2"/>
  <c r="C556" i="2"/>
  <c r="M555" i="2"/>
  <c r="C555" i="2"/>
  <c r="M554" i="2"/>
  <c r="C554" i="2"/>
  <c r="M553" i="2"/>
  <c r="C553" i="2"/>
  <c r="M552" i="2"/>
  <c r="C552" i="2"/>
  <c r="M551" i="2"/>
  <c r="C551" i="2"/>
  <c r="M550" i="2"/>
  <c r="C550" i="2"/>
  <c r="M549" i="2"/>
  <c r="C549" i="2"/>
  <c r="M548" i="2"/>
  <c r="C548" i="2"/>
  <c r="M547" i="2"/>
  <c r="C547" i="2"/>
  <c r="M546" i="2"/>
  <c r="C546" i="2"/>
  <c r="M545" i="2"/>
  <c r="C545" i="2"/>
  <c r="M544" i="2"/>
  <c r="C544" i="2"/>
  <c r="M543" i="2"/>
  <c r="C543" i="2"/>
  <c r="M542" i="2"/>
  <c r="C542" i="2"/>
  <c r="M541" i="2"/>
  <c r="C541" i="2"/>
  <c r="M540" i="2"/>
  <c r="C540" i="2"/>
  <c r="M539" i="2"/>
  <c r="C539" i="2"/>
  <c r="M538" i="2"/>
  <c r="C538" i="2"/>
  <c r="M537" i="2"/>
  <c r="C537" i="2"/>
  <c r="M536" i="2"/>
  <c r="C536" i="2"/>
  <c r="M535" i="2"/>
  <c r="C535" i="2"/>
  <c r="M534" i="2"/>
  <c r="C534" i="2"/>
  <c r="M533" i="2"/>
  <c r="C533" i="2"/>
  <c r="M532" i="2"/>
  <c r="C532" i="2"/>
  <c r="M531" i="2"/>
  <c r="C531" i="2"/>
  <c r="M530" i="2"/>
  <c r="C530" i="2"/>
  <c r="M529" i="2"/>
  <c r="C529" i="2"/>
  <c r="M528" i="2"/>
  <c r="C528" i="2"/>
  <c r="M527" i="2"/>
  <c r="C527" i="2"/>
  <c r="M526" i="2"/>
  <c r="C526" i="2"/>
  <c r="M525" i="2"/>
  <c r="C525" i="2"/>
  <c r="M524" i="2"/>
  <c r="C524" i="2"/>
  <c r="M523" i="2"/>
  <c r="C523" i="2"/>
  <c r="M522" i="2"/>
  <c r="C522" i="2"/>
  <c r="M521" i="2"/>
  <c r="C521" i="2"/>
  <c r="M520" i="2"/>
  <c r="C520" i="2"/>
  <c r="M519" i="2"/>
  <c r="C519" i="2"/>
  <c r="M518" i="2"/>
  <c r="C518" i="2"/>
  <c r="M517" i="2"/>
  <c r="C517" i="2"/>
  <c r="M516" i="2"/>
  <c r="C516" i="2"/>
  <c r="M515" i="2"/>
  <c r="C515" i="2"/>
  <c r="M514" i="2"/>
  <c r="C514" i="2"/>
  <c r="M513" i="2"/>
  <c r="C513" i="2"/>
  <c r="M512" i="2"/>
  <c r="C512" i="2"/>
  <c r="M511" i="2"/>
  <c r="C511" i="2"/>
  <c r="M510" i="2"/>
  <c r="C510" i="2"/>
  <c r="M509" i="2"/>
  <c r="C509" i="2"/>
  <c r="M508" i="2"/>
  <c r="C508" i="2"/>
  <c r="M507" i="2"/>
  <c r="C507" i="2"/>
  <c r="M506" i="2"/>
  <c r="C506" i="2"/>
  <c r="M505" i="2"/>
  <c r="C505" i="2"/>
  <c r="M504" i="2"/>
  <c r="C504" i="2"/>
  <c r="M503" i="2"/>
  <c r="C503" i="2"/>
  <c r="M502" i="2"/>
  <c r="C502" i="2"/>
  <c r="M501" i="2"/>
  <c r="C501" i="2"/>
  <c r="M500" i="2"/>
  <c r="C500" i="2"/>
  <c r="M499" i="2"/>
  <c r="C499" i="2"/>
  <c r="M498" i="2"/>
  <c r="C498" i="2"/>
  <c r="M497" i="2"/>
  <c r="C497" i="2"/>
  <c r="M496" i="2"/>
  <c r="C496" i="2"/>
  <c r="M495" i="2"/>
  <c r="C495" i="2"/>
  <c r="M494" i="2"/>
  <c r="C494" i="2"/>
  <c r="M493" i="2"/>
  <c r="C493" i="2"/>
  <c r="M492" i="2"/>
  <c r="C492" i="2"/>
  <c r="M491" i="2"/>
  <c r="C491" i="2"/>
  <c r="M490" i="2"/>
  <c r="C490" i="2"/>
  <c r="M489" i="2"/>
  <c r="C489" i="2"/>
  <c r="M488" i="2"/>
  <c r="C488" i="2"/>
  <c r="M487" i="2"/>
  <c r="C487" i="2"/>
  <c r="M486" i="2"/>
  <c r="C486" i="2"/>
  <c r="M485" i="2"/>
  <c r="C485" i="2"/>
  <c r="M484" i="2"/>
  <c r="C484" i="2"/>
  <c r="M483" i="2"/>
  <c r="C483" i="2"/>
  <c r="M482" i="2"/>
  <c r="C482" i="2"/>
  <c r="M481" i="2"/>
  <c r="C481" i="2"/>
  <c r="M480" i="2"/>
  <c r="C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C445" i="2"/>
  <c r="M444" i="2"/>
  <c r="C444" i="2"/>
  <c r="M443" i="2"/>
  <c r="C443" i="2"/>
  <c r="M442" i="2"/>
  <c r="C442" i="2"/>
  <c r="M441" i="2"/>
  <c r="C441" i="2"/>
  <c r="M440" i="2"/>
  <c r="C440" i="2"/>
  <c r="M439" i="2"/>
  <c r="C439" i="2"/>
  <c r="M438" i="2"/>
  <c r="C438" i="2"/>
  <c r="M437" i="2"/>
  <c r="C437" i="2"/>
  <c r="M436" i="2"/>
  <c r="C436" i="2"/>
  <c r="M435" i="2"/>
  <c r="C435" i="2"/>
  <c r="M434" i="2"/>
  <c r="C434" i="2"/>
  <c r="M433" i="2"/>
  <c r="C433" i="2"/>
  <c r="M432" i="2"/>
  <c r="C432" i="2"/>
  <c r="M431" i="2"/>
  <c r="C431" i="2"/>
  <c r="M430" i="2"/>
  <c r="C430" i="2"/>
  <c r="M429" i="2"/>
  <c r="C429" i="2"/>
  <c r="M428" i="2"/>
  <c r="C428" i="2"/>
  <c r="M427" i="2"/>
  <c r="C427" i="2"/>
  <c r="M426" i="2"/>
  <c r="C426" i="2"/>
  <c r="M425" i="2"/>
  <c r="C425" i="2"/>
  <c r="M424" i="2"/>
  <c r="C424" i="2"/>
  <c r="M423" i="2"/>
  <c r="C423" i="2"/>
  <c r="M422" i="2"/>
  <c r="C422" i="2"/>
  <c r="M421" i="2"/>
  <c r="C421" i="2"/>
  <c r="M420" i="2"/>
  <c r="C420" i="2"/>
  <c r="M419" i="2"/>
  <c r="C419" i="2"/>
  <c r="M418" i="2"/>
  <c r="C418" i="2"/>
  <c r="M417" i="2"/>
  <c r="C417" i="2"/>
  <c r="M416" i="2"/>
  <c r="C416" i="2"/>
  <c r="M415" i="2"/>
  <c r="C415" i="2"/>
  <c r="M414" i="2"/>
  <c r="C414" i="2"/>
  <c r="M413" i="2"/>
  <c r="C413" i="2"/>
  <c r="M412" i="2"/>
  <c r="C412" i="2"/>
  <c r="M411" i="2"/>
  <c r="C411" i="2"/>
  <c r="M410" i="2"/>
  <c r="C410" i="2"/>
  <c r="M409" i="2"/>
  <c r="C409" i="2"/>
  <c r="M408" i="2"/>
  <c r="C408" i="2"/>
  <c r="M407" i="2"/>
  <c r="C407" i="2"/>
  <c r="M406" i="2"/>
  <c r="C406" i="2"/>
  <c r="M405" i="2"/>
  <c r="C405" i="2"/>
  <c r="M404" i="2"/>
  <c r="C404" i="2"/>
  <c r="M403" i="2"/>
  <c r="C403" i="2"/>
  <c r="M402" i="2"/>
  <c r="C402" i="2"/>
  <c r="M401" i="2"/>
  <c r="C401" i="2"/>
  <c r="M400" i="2"/>
  <c r="C400" i="2"/>
  <c r="M399" i="2"/>
  <c r="C399" i="2"/>
  <c r="M398" i="2"/>
  <c r="C398" i="2"/>
  <c r="M397" i="2"/>
  <c r="C397" i="2"/>
  <c r="M396" i="2"/>
  <c r="C396" i="2"/>
  <c r="M395" i="2"/>
  <c r="C395" i="2"/>
  <c r="M394" i="2"/>
  <c r="C394" i="2"/>
  <c r="M393" i="2"/>
  <c r="C393" i="2"/>
  <c r="M392" i="2"/>
  <c r="C392" i="2"/>
  <c r="M391" i="2"/>
  <c r="C391" i="2"/>
  <c r="M390" i="2"/>
  <c r="C390" i="2"/>
  <c r="M389" i="2"/>
  <c r="C389" i="2"/>
  <c r="M388" i="2"/>
  <c r="C388" i="2"/>
  <c r="M387" i="2"/>
  <c r="C387" i="2"/>
  <c r="M386" i="2"/>
  <c r="C386" i="2"/>
  <c r="M385" i="2"/>
  <c r="C385" i="2"/>
  <c r="M384" i="2"/>
  <c r="C384" i="2"/>
  <c r="M383" i="2"/>
  <c r="C383" i="2"/>
  <c r="M382" i="2"/>
  <c r="C382" i="2"/>
  <c r="M381" i="2"/>
  <c r="C381" i="2"/>
  <c r="M380" i="2"/>
  <c r="C380" i="2"/>
  <c r="M379" i="2"/>
  <c r="C379" i="2"/>
  <c r="M378" i="2"/>
  <c r="C378" i="2"/>
  <c r="M377" i="2"/>
  <c r="C377" i="2"/>
  <c r="M376" i="2"/>
  <c r="C376" i="2"/>
  <c r="M375" i="2"/>
  <c r="C375" i="2"/>
  <c r="M374" i="2"/>
  <c r="C374" i="2"/>
  <c r="M373" i="2"/>
  <c r="C373" i="2"/>
  <c r="M372" i="2"/>
  <c r="C372" i="2"/>
  <c r="M371" i="2"/>
  <c r="C371" i="2"/>
  <c r="M370" i="2"/>
  <c r="C370" i="2"/>
  <c r="M369" i="2"/>
  <c r="C369" i="2"/>
  <c r="M368" i="2"/>
  <c r="C368" i="2"/>
  <c r="M367" i="2"/>
  <c r="C367" i="2"/>
  <c r="M366" i="2"/>
  <c r="C366" i="2"/>
  <c r="M365" i="2"/>
  <c r="C365" i="2"/>
  <c r="M364" i="2"/>
  <c r="C364" i="2"/>
  <c r="M363" i="2"/>
  <c r="C363" i="2"/>
  <c r="M362" i="2"/>
  <c r="C362" i="2"/>
  <c r="M361" i="2"/>
  <c r="C361" i="2"/>
  <c r="M360" i="2"/>
  <c r="C360" i="2"/>
  <c r="M359" i="2"/>
  <c r="C359" i="2"/>
  <c r="M358" i="2"/>
  <c r="C358" i="2"/>
  <c r="M357" i="2"/>
  <c r="C357" i="2"/>
  <c r="M356" i="2"/>
  <c r="C356" i="2"/>
  <c r="M355" i="2"/>
  <c r="C355" i="2"/>
  <c r="M354" i="2"/>
  <c r="C354" i="2"/>
  <c r="M353" i="2"/>
  <c r="C353" i="2"/>
  <c r="M352" i="2"/>
  <c r="C352" i="2"/>
  <c r="M351" i="2"/>
  <c r="C351" i="2"/>
  <c r="M350" i="2"/>
  <c r="C350" i="2"/>
  <c r="M349" i="2"/>
  <c r="C349" i="2"/>
  <c r="M348" i="2"/>
  <c r="C348" i="2"/>
  <c r="M347" i="2"/>
  <c r="C347" i="2"/>
  <c r="M346" i="2"/>
  <c r="C346" i="2"/>
  <c r="M345" i="2"/>
  <c r="C345" i="2"/>
  <c r="M344" i="2"/>
  <c r="C344" i="2"/>
  <c r="M343" i="2"/>
  <c r="C343" i="2"/>
  <c r="M342" i="2"/>
  <c r="C342" i="2"/>
  <c r="M341" i="2"/>
  <c r="C341" i="2"/>
  <c r="M340" i="2"/>
  <c r="C340" i="2"/>
  <c r="M339" i="2"/>
  <c r="C339" i="2"/>
  <c r="M338" i="2"/>
  <c r="C338" i="2"/>
  <c r="M337" i="2"/>
  <c r="C337" i="2"/>
  <c r="M336" i="2"/>
  <c r="C336" i="2"/>
  <c r="M335" i="2"/>
  <c r="C335" i="2"/>
  <c r="M334" i="2"/>
  <c r="C334" i="2"/>
  <c r="M333" i="2"/>
  <c r="C333" i="2"/>
  <c r="M332" i="2"/>
  <c r="C332" i="2"/>
  <c r="M331" i="2"/>
  <c r="C331" i="2"/>
  <c r="M330" i="2"/>
  <c r="C330" i="2"/>
  <c r="M329" i="2"/>
  <c r="C329" i="2"/>
  <c r="M328" i="2"/>
  <c r="C328" i="2"/>
  <c r="M327" i="2"/>
  <c r="C327" i="2"/>
  <c r="M326" i="2"/>
  <c r="C326" i="2"/>
  <c r="M325" i="2"/>
  <c r="C325" i="2"/>
  <c r="M324" i="2"/>
  <c r="C324" i="2"/>
  <c r="M323" i="2"/>
  <c r="C323" i="2"/>
  <c r="M322" i="2"/>
  <c r="C322" i="2"/>
  <c r="M321" i="2"/>
  <c r="C321" i="2"/>
  <c r="M320" i="2"/>
  <c r="C320" i="2"/>
  <c r="M319" i="2"/>
  <c r="C319" i="2"/>
  <c r="M318" i="2"/>
  <c r="C318" i="2"/>
  <c r="M317" i="2"/>
  <c r="C317" i="2"/>
  <c r="M316" i="2"/>
  <c r="C316" i="2"/>
  <c r="M315" i="2"/>
  <c r="C315" i="2"/>
  <c r="M314" i="2"/>
  <c r="C314" i="2"/>
  <c r="M313" i="2"/>
  <c r="C313" i="2"/>
  <c r="M312" i="2"/>
  <c r="C312" i="2"/>
  <c r="M311" i="2"/>
  <c r="C311" i="2"/>
  <c r="M310" i="2"/>
  <c r="C310" i="2"/>
  <c r="M309" i="2"/>
  <c r="C309" i="2"/>
  <c r="M308" i="2"/>
  <c r="C308" i="2"/>
  <c r="M307" i="2"/>
  <c r="C307" i="2"/>
  <c r="M306" i="2"/>
  <c r="C306" i="2"/>
  <c r="M305" i="2"/>
  <c r="C305" i="2"/>
  <c r="M304" i="2"/>
  <c r="C304" i="2"/>
  <c r="M303" i="2"/>
  <c r="C303" i="2"/>
  <c r="M302" i="2"/>
  <c r="C302" i="2"/>
  <c r="M301" i="2"/>
  <c r="C301" i="2"/>
  <c r="M300" i="2"/>
  <c r="C300" i="2"/>
  <c r="M299" i="2"/>
  <c r="C299" i="2"/>
  <c r="M298" i="2"/>
  <c r="C298" i="2"/>
  <c r="M297" i="2"/>
  <c r="C297" i="2"/>
  <c r="M296" i="2"/>
  <c r="C296" i="2"/>
  <c r="M295" i="2"/>
  <c r="C295" i="2"/>
  <c r="M294" i="2"/>
  <c r="C294" i="2"/>
  <c r="M293" i="2"/>
  <c r="C293" i="2"/>
  <c r="M292" i="2"/>
  <c r="C292" i="2"/>
  <c r="M291" i="2"/>
  <c r="C291" i="2"/>
  <c r="M290" i="2"/>
  <c r="C290" i="2"/>
  <c r="M289" i="2"/>
  <c r="C289" i="2"/>
  <c r="M288" i="2"/>
  <c r="C288" i="2"/>
  <c r="M287" i="2"/>
  <c r="C287" i="2"/>
  <c r="M286" i="2"/>
  <c r="C286" i="2"/>
  <c r="M285" i="2"/>
  <c r="C285" i="2"/>
  <c r="M284" i="2"/>
  <c r="C284" i="2"/>
  <c r="M283" i="2"/>
  <c r="C283" i="2"/>
  <c r="M282" i="2"/>
  <c r="C282" i="2"/>
  <c r="M281" i="2"/>
  <c r="C281" i="2"/>
  <c r="M280" i="2"/>
  <c r="C280" i="2"/>
  <c r="M279" i="2"/>
  <c r="C279" i="2"/>
  <c r="M278" i="2"/>
  <c r="C278" i="2"/>
  <c r="M277" i="2"/>
  <c r="C277" i="2"/>
  <c r="M276" i="2"/>
  <c r="C276" i="2"/>
  <c r="M275" i="2"/>
  <c r="C275" i="2"/>
  <c r="M274" i="2"/>
  <c r="C274" i="2"/>
  <c r="M273" i="2"/>
  <c r="C273" i="2"/>
  <c r="M272" i="2"/>
  <c r="C272" i="2"/>
  <c r="M271" i="2"/>
  <c r="C271" i="2"/>
  <c r="M270" i="2"/>
  <c r="C270" i="2"/>
  <c r="M269" i="2"/>
  <c r="C269" i="2"/>
  <c r="M268" i="2"/>
  <c r="C268" i="2"/>
  <c r="M267" i="2"/>
  <c r="C267" i="2"/>
  <c r="M266" i="2"/>
  <c r="C266" i="2"/>
  <c r="M265" i="2"/>
  <c r="C265" i="2"/>
  <c r="M264" i="2"/>
  <c r="C264" i="2"/>
  <c r="M263" i="2"/>
  <c r="C263" i="2"/>
  <c r="M262" i="2"/>
  <c r="C262" i="2"/>
  <c r="M261" i="2"/>
  <c r="C261" i="2"/>
  <c r="M260" i="2"/>
  <c r="C260" i="2"/>
  <c r="M259" i="2"/>
  <c r="C259" i="2"/>
  <c r="M258" i="2"/>
  <c r="C258" i="2"/>
  <c r="M257" i="2"/>
  <c r="C257" i="2"/>
  <c r="M256" i="2"/>
  <c r="C256" i="2"/>
  <c r="M255" i="2"/>
  <c r="C255" i="2"/>
  <c r="M254" i="2"/>
  <c r="C254" i="2"/>
  <c r="M253" i="2"/>
  <c r="C253" i="2"/>
  <c r="M252" i="2"/>
  <c r="C252" i="2"/>
  <c r="M251" i="2"/>
  <c r="C251" i="2"/>
  <c r="M250" i="2"/>
  <c r="C250" i="2"/>
  <c r="M249" i="2"/>
  <c r="C249" i="2"/>
  <c r="M248" i="2"/>
  <c r="C248" i="2"/>
  <c r="M247" i="2"/>
  <c r="C247" i="2"/>
  <c r="M246" i="2"/>
  <c r="C246" i="2"/>
  <c r="M245" i="2"/>
  <c r="C245" i="2"/>
  <c r="M244" i="2"/>
  <c r="C244" i="2"/>
  <c r="M243" i="2"/>
  <c r="C243" i="2"/>
  <c r="M242" i="2"/>
  <c r="C242" i="2"/>
  <c r="M241" i="2"/>
  <c r="C241" i="2"/>
  <c r="M240" i="2"/>
  <c r="C240" i="2"/>
  <c r="M239" i="2"/>
  <c r="C239" i="2"/>
  <c r="M238" i="2"/>
  <c r="C238" i="2"/>
  <c r="M237" i="2"/>
  <c r="C237" i="2"/>
  <c r="M236" i="2"/>
  <c r="C236" i="2"/>
  <c r="M235" i="2"/>
  <c r="C235" i="2"/>
  <c r="M234" i="2"/>
  <c r="C234" i="2"/>
  <c r="M233" i="2"/>
  <c r="C233" i="2"/>
  <c r="M232" i="2"/>
  <c r="C232" i="2"/>
  <c r="M231" i="2"/>
  <c r="C231" i="2"/>
  <c r="M230" i="2"/>
  <c r="C230" i="2"/>
  <c r="M229" i="2"/>
  <c r="C229" i="2"/>
  <c r="M228" i="2"/>
  <c r="C228" i="2"/>
  <c r="M227" i="2"/>
  <c r="C227" i="2"/>
  <c r="M226" i="2"/>
  <c r="C226" i="2"/>
  <c r="M225" i="2"/>
  <c r="C225" i="2"/>
  <c r="M224" i="2"/>
  <c r="C224" i="2"/>
  <c r="M223" i="2"/>
  <c r="C223" i="2"/>
  <c r="M222" i="2"/>
  <c r="C222" i="2"/>
  <c r="M221" i="2"/>
  <c r="C221" i="2"/>
  <c r="M220" i="2"/>
  <c r="C220" i="2"/>
  <c r="M219" i="2"/>
  <c r="C219" i="2"/>
  <c r="M218" i="2"/>
  <c r="C218" i="2"/>
  <c r="M217" i="2"/>
  <c r="C217" i="2"/>
  <c r="M216" i="2"/>
  <c r="C216" i="2"/>
  <c r="M215" i="2"/>
  <c r="C215" i="2"/>
  <c r="M214" i="2"/>
  <c r="C214" i="2"/>
  <c r="M213" i="2"/>
  <c r="C213" i="2"/>
  <c r="M212" i="2"/>
  <c r="C212" i="2"/>
  <c r="M211" i="2"/>
  <c r="C211" i="2"/>
  <c r="M210" i="2"/>
  <c r="C210" i="2"/>
  <c r="M209" i="2"/>
  <c r="C209" i="2"/>
  <c r="M208" i="2"/>
  <c r="C208" i="2"/>
  <c r="M207" i="2"/>
  <c r="C207" i="2"/>
  <c r="M206" i="2"/>
  <c r="C206" i="2"/>
  <c r="M205" i="2"/>
  <c r="C205" i="2"/>
  <c r="M204" i="2"/>
  <c r="C204" i="2"/>
  <c r="M203" i="2"/>
  <c r="C203" i="2"/>
  <c r="M202" i="2"/>
  <c r="C202" i="2"/>
  <c r="M201" i="2"/>
  <c r="C201" i="2"/>
  <c r="M200" i="2"/>
  <c r="C200" i="2"/>
  <c r="M199" i="2"/>
  <c r="C199" i="2"/>
  <c r="M198" i="2"/>
  <c r="C198" i="2"/>
  <c r="M197" i="2"/>
  <c r="C197" i="2"/>
  <c r="M196" i="2"/>
  <c r="C196" i="2"/>
  <c r="M195" i="2"/>
  <c r="C195" i="2"/>
  <c r="M194" i="2"/>
  <c r="C194" i="2"/>
  <c r="M193" i="2"/>
  <c r="C193" i="2"/>
  <c r="M192" i="2"/>
  <c r="C192" i="2"/>
  <c r="M191" i="2"/>
  <c r="C191" i="2"/>
  <c r="M190" i="2"/>
  <c r="C190" i="2"/>
  <c r="M189" i="2"/>
  <c r="C189" i="2"/>
  <c r="M188" i="2"/>
  <c r="C188" i="2"/>
  <c r="M187" i="2"/>
  <c r="C187" i="2"/>
  <c r="M186" i="2"/>
  <c r="C186" i="2"/>
  <c r="M185" i="2"/>
  <c r="C185" i="2"/>
  <c r="M184" i="2"/>
  <c r="C184" i="2"/>
  <c r="M183" i="2"/>
  <c r="C183" i="2"/>
  <c r="M182" i="2"/>
  <c r="C182" i="2"/>
  <c r="M181" i="2"/>
  <c r="C181" i="2"/>
  <c r="M180" i="2"/>
  <c r="C180" i="2"/>
  <c r="M179" i="2"/>
  <c r="C179" i="2"/>
  <c r="M178" i="2"/>
  <c r="C178" i="2"/>
  <c r="M177" i="2"/>
  <c r="C177" i="2"/>
  <c r="M176" i="2"/>
  <c r="C176" i="2"/>
  <c r="M175" i="2"/>
  <c r="C175" i="2"/>
  <c r="M174" i="2"/>
  <c r="C174" i="2"/>
  <c r="M173" i="2"/>
  <c r="C173" i="2"/>
  <c r="M172" i="2"/>
  <c r="C172" i="2"/>
  <c r="M171" i="2"/>
  <c r="C171" i="2"/>
  <c r="M170" i="2"/>
  <c r="C170" i="2"/>
  <c r="M169" i="2"/>
  <c r="C169" i="2"/>
  <c r="M168" i="2"/>
  <c r="C168" i="2"/>
  <c r="M167" i="2"/>
  <c r="C167" i="2"/>
  <c r="M166" i="2"/>
  <c r="C166" i="2"/>
  <c r="M165" i="2"/>
  <c r="C165" i="2"/>
  <c r="M164" i="2"/>
  <c r="C164" i="2"/>
  <c r="M163" i="2"/>
  <c r="C163" i="2"/>
  <c r="M162" i="2"/>
  <c r="C162" i="2"/>
  <c r="M161" i="2"/>
  <c r="C161" i="2"/>
  <c r="M160" i="2"/>
  <c r="C160" i="2"/>
  <c r="M159" i="2"/>
  <c r="C159" i="2"/>
  <c r="M158" i="2"/>
  <c r="C158" i="2"/>
  <c r="M157" i="2"/>
  <c r="C157" i="2"/>
  <c r="M156" i="2"/>
  <c r="C156" i="2"/>
  <c r="M155" i="2"/>
  <c r="C155" i="2"/>
  <c r="M154" i="2"/>
  <c r="C154" i="2"/>
  <c r="M153" i="2"/>
  <c r="C153" i="2"/>
  <c r="M152" i="2"/>
  <c r="C152" i="2"/>
  <c r="M151" i="2"/>
  <c r="C151" i="2"/>
  <c r="M150" i="2"/>
  <c r="C150" i="2"/>
  <c r="M149" i="2"/>
  <c r="C149" i="2"/>
  <c r="M148" i="2"/>
  <c r="C148" i="2"/>
  <c r="M147" i="2"/>
  <c r="C147" i="2"/>
  <c r="M146" i="2"/>
  <c r="C146" i="2"/>
  <c r="M145" i="2"/>
  <c r="C145" i="2"/>
  <c r="M144" i="2"/>
  <c r="C144" i="2"/>
  <c r="M143" i="2"/>
  <c r="C143" i="2"/>
  <c r="M142" i="2"/>
  <c r="C142" i="2"/>
  <c r="M141" i="2"/>
  <c r="C141" i="2"/>
  <c r="M140" i="2"/>
  <c r="C140" i="2"/>
  <c r="M139" i="2"/>
  <c r="C139" i="2"/>
  <c r="M138" i="2"/>
  <c r="C138" i="2"/>
  <c r="M137" i="2"/>
  <c r="C137" i="2"/>
  <c r="M136" i="2"/>
  <c r="C136" i="2"/>
  <c r="M135" i="2"/>
  <c r="C135" i="2"/>
  <c r="M134" i="2"/>
  <c r="C134" i="2"/>
  <c r="M133" i="2"/>
  <c r="C133" i="2"/>
  <c r="M132" i="2"/>
  <c r="C132" i="2"/>
  <c r="M131" i="2"/>
  <c r="C131" i="2"/>
  <c r="M130" i="2"/>
  <c r="C130" i="2"/>
  <c r="M129" i="2"/>
  <c r="C129" i="2"/>
  <c r="M128" i="2"/>
  <c r="C128" i="2"/>
  <c r="M127" i="2"/>
  <c r="C127" i="2"/>
  <c r="M126" i="2"/>
  <c r="C126" i="2"/>
  <c r="M125" i="2"/>
  <c r="C125" i="2"/>
  <c r="M124" i="2"/>
  <c r="C124" i="2"/>
  <c r="M123" i="2"/>
  <c r="C123" i="2"/>
  <c r="M122" i="2"/>
  <c r="C122" i="2"/>
  <c r="M121" i="2"/>
  <c r="C121" i="2"/>
  <c r="M120" i="2"/>
  <c r="C120" i="2"/>
  <c r="M119" i="2"/>
  <c r="C119" i="2"/>
  <c r="M118" i="2"/>
  <c r="C118" i="2"/>
  <c r="M117" i="2"/>
  <c r="C117" i="2"/>
  <c r="M116" i="2"/>
  <c r="C116" i="2"/>
  <c r="M115" i="2"/>
  <c r="C115" i="2"/>
  <c r="M114" i="2"/>
  <c r="C114" i="2"/>
  <c r="M113" i="2"/>
  <c r="C113" i="2"/>
  <c r="M112" i="2"/>
  <c r="C112" i="2"/>
  <c r="M111" i="2"/>
  <c r="C111" i="2"/>
  <c r="M110" i="2"/>
  <c r="C110" i="2"/>
  <c r="M109" i="2"/>
  <c r="C109" i="2"/>
  <c r="M108" i="2"/>
  <c r="C108" i="2"/>
  <c r="M107" i="2"/>
  <c r="C107" i="2"/>
  <c r="M106" i="2"/>
  <c r="C106" i="2"/>
  <c r="M105" i="2"/>
  <c r="C105" i="2"/>
  <c r="M104" i="2"/>
  <c r="C104" i="2"/>
  <c r="M103" i="2"/>
  <c r="C103" i="2"/>
  <c r="M102" i="2"/>
  <c r="C102" i="2"/>
  <c r="M101" i="2"/>
  <c r="C101" i="2"/>
  <c r="M100" i="2"/>
  <c r="C100" i="2"/>
  <c r="M99" i="2"/>
  <c r="C99" i="2"/>
  <c r="M98" i="2"/>
  <c r="C98" i="2"/>
  <c r="M97" i="2"/>
  <c r="C97" i="2"/>
  <c r="M96" i="2"/>
  <c r="C96" i="2"/>
  <c r="M95" i="2"/>
  <c r="C95" i="2"/>
  <c r="M94" i="2"/>
  <c r="C94" i="2"/>
  <c r="M93" i="2"/>
  <c r="C93" i="2"/>
  <c r="M92" i="2"/>
  <c r="C92" i="2"/>
  <c r="M91" i="2"/>
  <c r="C91" i="2"/>
  <c r="M90" i="2"/>
  <c r="C90" i="2"/>
  <c r="M89" i="2"/>
  <c r="C89" i="2"/>
  <c r="M88" i="2"/>
  <c r="C88" i="2"/>
  <c r="M87" i="2"/>
  <c r="C87" i="2"/>
  <c r="M86" i="2"/>
  <c r="C86" i="2"/>
  <c r="M85" i="2"/>
  <c r="C85" i="2"/>
  <c r="M84" i="2"/>
  <c r="C84" i="2"/>
  <c r="M83" i="2"/>
  <c r="C83" i="2"/>
  <c r="M82" i="2"/>
  <c r="C82" i="2"/>
  <c r="M81" i="2"/>
  <c r="C81" i="2"/>
  <c r="M80" i="2"/>
  <c r="C80" i="2"/>
  <c r="M79" i="2"/>
  <c r="C79" i="2"/>
  <c r="M78" i="2"/>
  <c r="C78" i="2"/>
  <c r="M77" i="2"/>
  <c r="C77" i="2"/>
  <c r="M76" i="2"/>
  <c r="C76" i="2"/>
  <c r="M75" i="2"/>
  <c r="C75" i="2"/>
  <c r="M74" i="2"/>
  <c r="C74" i="2"/>
  <c r="M73" i="2"/>
  <c r="C73" i="2"/>
  <c r="M72" i="2"/>
  <c r="C72" i="2"/>
  <c r="M71" i="2"/>
  <c r="C71" i="2"/>
  <c r="M70" i="2"/>
  <c r="C70" i="2"/>
  <c r="M69" i="2"/>
  <c r="C69" i="2"/>
  <c r="M68" i="2"/>
  <c r="C68" i="2"/>
  <c r="M67" i="2"/>
  <c r="C67" i="2"/>
  <c r="M66" i="2"/>
  <c r="C66" i="2"/>
  <c r="M65" i="2"/>
  <c r="C65" i="2"/>
  <c r="M64" i="2"/>
  <c r="C64" i="2"/>
  <c r="M63" i="2"/>
  <c r="C63" i="2"/>
  <c r="M62" i="2"/>
  <c r="C62" i="2"/>
  <c r="M61" i="2"/>
  <c r="C61" i="2"/>
  <c r="M60" i="2"/>
  <c r="C60" i="2"/>
  <c r="M59" i="2"/>
  <c r="C59" i="2"/>
  <c r="M58" i="2"/>
  <c r="C58" i="2"/>
  <c r="M57" i="2"/>
  <c r="C57" i="2"/>
  <c r="M56" i="2"/>
  <c r="C56" i="2"/>
  <c r="M55" i="2"/>
  <c r="C55" i="2"/>
  <c r="M54" i="2"/>
  <c r="C54" i="2"/>
  <c r="M53" i="2"/>
  <c r="C53" i="2"/>
  <c r="M52" i="2"/>
  <c r="C52" i="2"/>
  <c r="M51" i="2"/>
  <c r="C51" i="2"/>
  <c r="M50" i="2"/>
  <c r="C50" i="2"/>
  <c r="M49" i="2"/>
  <c r="C49" i="2"/>
  <c r="M48" i="2"/>
  <c r="C48" i="2"/>
  <c r="M47" i="2"/>
  <c r="C47" i="2"/>
  <c r="M46" i="2"/>
  <c r="C46" i="2"/>
  <c r="M45" i="2"/>
  <c r="C45" i="2"/>
  <c r="M44" i="2"/>
  <c r="C44" i="2"/>
  <c r="M43" i="2"/>
  <c r="C43" i="2"/>
  <c r="M42" i="2"/>
  <c r="C42" i="2"/>
  <c r="M41" i="2"/>
  <c r="C41" i="2"/>
  <c r="M40" i="2"/>
  <c r="C40" i="2"/>
  <c r="M39" i="2"/>
  <c r="C39" i="2"/>
  <c r="M38" i="2"/>
  <c r="C38" i="2"/>
  <c r="M37" i="2"/>
  <c r="C37" i="2"/>
  <c r="M36" i="2"/>
  <c r="C36" i="2"/>
  <c r="M35" i="2"/>
  <c r="C35" i="2"/>
  <c r="M34" i="2"/>
  <c r="C34" i="2"/>
  <c r="M33" i="2"/>
  <c r="C33" i="2"/>
  <c r="M32" i="2"/>
  <c r="C32" i="2"/>
  <c r="M31" i="2"/>
  <c r="C31" i="2"/>
  <c r="M30" i="2"/>
  <c r="C30" i="2"/>
  <c r="M29" i="2"/>
  <c r="C29" i="2"/>
  <c r="M28" i="2"/>
  <c r="C28" i="2"/>
  <c r="M27" i="2"/>
  <c r="C27" i="2"/>
  <c r="M26" i="2"/>
  <c r="C26" i="2"/>
  <c r="M25" i="2"/>
  <c r="C25" i="2"/>
  <c r="M24" i="2"/>
  <c r="C24" i="2"/>
  <c r="M23" i="2"/>
  <c r="C23" i="2"/>
  <c r="M22" i="2"/>
  <c r="C22" i="2"/>
  <c r="M21" i="2"/>
  <c r="C21" i="2"/>
  <c r="M20" i="2"/>
  <c r="C20" i="2"/>
  <c r="M19" i="2"/>
  <c r="C19" i="2"/>
  <c r="M18" i="2"/>
  <c r="C18" i="2"/>
  <c r="M17" i="2"/>
  <c r="C17" i="2"/>
  <c r="M16" i="2"/>
  <c r="C16" i="2"/>
  <c r="M15" i="2"/>
  <c r="C15" i="2"/>
  <c r="M14" i="2"/>
  <c r="C14" i="2"/>
  <c r="M13" i="2"/>
  <c r="C13" i="2"/>
  <c r="M12" i="2"/>
  <c r="C12" i="2"/>
  <c r="M11" i="2"/>
  <c r="C11" i="2"/>
  <c r="M10" i="2"/>
  <c r="C10" i="2"/>
  <c r="M9" i="2"/>
  <c r="C9" i="2"/>
  <c r="M8" i="2"/>
  <c r="C8" i="2"/>
  <c r="M7" i="2"/>
  <c r="C7" i="2"/>
  <c r="M6" i="2"/>
  <c r="C6" i="2"/>
  <c r="M5" i="2"/>
  <c r="C5" i="2"/>
  <c r="M4" i="2"/>
  <c r="C4" i="2"/>
  <c r="M3" i="2"/>
  <c r="C3" i="2"/>
  <c r="M2" i="2"/>
  <c r="C2" i="2"/>
</calcChain>
</file>

<file path=xl/sharedStrings.xml><?xml version="1.0" encoding="utf-8"?>
<sst xmlns="http://schemas.openxmlformats.org/spreadsheetml/2006/main" count="7067" uniqueCount="231">
  <si>
    <t>no</t>
  </si>
  <si>
    <t>Origin</t>
  </si>
  <si>
    <t>Tag_color</t>
  </si>
  <si>
    <t>rock number</t>
  </si>
  <si>
    <t>Date</t>
  </si>
  <si>
    <t>Longest_blade</t>
  </si>
  <si>
    <t>collected from</t>
  </si>
  <si>
    <t>biofouling removed 14_5_25</t>
  </si>
  <si>
    <t>no_blades</t>
  </si>
  <si>
    <t>initial tank</t>
  </si>
  <si>
    <t>Nutrient_treatment_tank</t>
  </si>
  <si>
    <t>Main_experiment_tank</t>
  </si>
  <si>
    <t>Turbulence</t>
  </si>
  <si>
    <t>Nutrient_treatment</t>
  </si>
  <si>
    <t>longest_blade_4_6_25</t>
  </si>
  <si>
    <t>Adult_local</t>
  </si>
  <si>
    <t>White</t>
  </si>
  <si>
    <t>13_5_2025</t>
  </si>
  <si>
    <t>FSC slip</t>
  </si>
  <si>
    <t>High</t>
  </si>
  <si>
    <t>P</t>
  </si>
  <si>
    <t>Low</t>
  </si>
  <si>
    <t>C</t>
  </si>
  <si>
    <t>N</t>
  </si>
  <si>
    <t>Red</t>
  </si>
  <si>
    <t>27_4_2025</t>
  </si>
  <si>
    <t>Blue</t>
  </si>
  <si>
    <t>12_5_2025</t>
  </si>
  <si>
    <t>farland</t>
  </si>
  <si>
    <t>hydro=112;bryo=8;maerl2</t>
  </si>
  <si>
    <t>hydro=6;bryo=1</t>
  </si>
  <si>
    <t>bryo=1;hydro=28;maerl=5</t>
  </si>
  <si>
    <t>bryo=4;hydro=14;snail=1</t>
  </si>
  <si>
    <t>hydro=59;bryo=10;snail=1;maerl=1</t>
  </si>
  <si>
    <t>hydro=345;bryo=1</t>
  </si>
  <si>
    <t>hydro=62;bryo=19+1colony 2cm; maerl=11</t>
  </si>
  <si>
    <t>hydro=16;bryo=2;donut=12;snail=5</t>
  </si>
  <si>
    <t>clean</t>
  </si>
  <si>
    <t>hydro=12;bryo=18;donut=2;maerl=3</t>
  </si>
  <si>
    <t>hydro=29;bryo=8</t>
  </si>
  <si>
    <t>bryo=19;hydro=123;donut=5;maerl=5</t>
  </si>
  <si>
    <t>hydro=137;bryo=1</t>
  </si>
  <si>
    <t>bryo=11;hydro=37</t>
  </si>
  <si>
    <t>bryo=29;hydro=74,blueRay_limpet=1</t>
  </si>
  <si>
    <t>bryo=14;hydro=5;snail=1</t>
  </si>
  <si>
    <t>Green</t>
  </si>
  <si>
    <t>hydro=37;bryo=1;donut=1;maerl=1</t>
  </si>
  <si>
    <t>bryo=14;hydro11;maerl=4;snail=1</t>
  </si>
  <si>
    <t>some snails</t>
  </si>
  <si>
    <t>Kilchoan_young</t>
  </si>
  <si>
    <t>Orange_yellow</t>
  </si>
  <si>
    <t>marivate_kilchoan</t>
  </si>
  <si>
    <t>20_3_2025</t>
  </si>
  <si>
    <t>1 juvenile mussel</t>
  </si>
  <si>
    <t>fallen bottom of tank</t>
  </si>
  <si>
    <t>was small and extra so discarted</t>
  </si>
  <si>
    <t>4_12_2025</t>
  </si>
  <si>
    <t>16_2_2025</t>
  </si>
  <si>
    <t>tag_no</t>
  </si>
  <si>
    <t>tag_colour</t>
  </si>
  <si>
    <t>sea_id</t>
  </si>
  <si>
    <t>rock_no</t>
  </si>
  <si>
    <t>date_sampled</t>
  </si>
  <si>
    <t>blade_length</t>
  </si>
  <si>
    <t>notes</t>
  </si>
  <si>
    <t>blade_side</t>
  </si>
  <si>
    <t>blade_zone</t>
  </si>
  <si>
    <t>blade_no</t>
  </si>
  <si>
    <t>sp</t>
  </si>
  <si>
    <t>colony_length_max</t>
  </si>
  <si>
    <t>colony_area</t>
  </si>
  <si>
    <t>no_h</t>
  </si>
  <si>
    <t>no_m</t>
  </si>
  <si>
    <t>no_long_m</t>
  </si>
  <si>
    <t>white</t>
  </si>
  <si>
    <t>x</t>
  </si>
  <si>
    <t>base</t>
  </si>
  <si>
    <t>ep</t>
  </si>
  <si>
    <t>middle</t>
  </si>
  <si>
    <t>mm</t>
  </si>
  <si>
    <t>tip</t>
  </si>
  <si>
    <t>y</t>
  </si>
  <si>
    <t>red</t>
  </si>
  <si>
    <t>na</t>
  </si>
  <si>
    <t>tag detached_90</t>
  </si>
  <si>
    <t>tag detached_140</t>
  </si>
  <si>
    <t>meristem only:clean</t>
  </si>
  <si>
    <t>orange</t>
  </si>
  <si>
    <t>tag only</t>
  </si>
  <si>
    <t>green</t>
  </si>
  <si>
    <t>blue</t>
  </si>
  <si>
    <t>tag detached_160cm</t>
  </si>
  <si>
    <t>tag detached_120</t>
  </si>
  <si>
    <t>tag detached_76</t>
  </si>
  <si>
    <t>100notag</t>
  </si>
  <si>
    <t>AB22</t>
  </si>
  <si>
    <t>tag detached_100</t>
  </si>
  <si>
    <t>120notag</t>
  </si>
  <si>
    <t>AW3</t>
  </si>
  <si>
    <t>tag detached</t>
  </si>
  <si>
    <t>178notag</t>
  </si>
  <si>
    <t>AB29</t>
  </si>
  <si>
    <t>tag detached_178</t>
  </si>
  <si>
    <t>orange_yellow</t>
  </si>
  <si>
    <t>mia</t>
  </si>
  <si>
    <t>mia but also not on sheet</t>
  </si>
  <si>
    <t>1 x seasquirt</t>
  </si>
  <si>
    <t>t</t>
  </si>
  <si>
    <t>base only</t>
  </si>
  <si>
    <t xml:space="preserve">tip missing </t>
  </si>
  <si>
    <t>1 x ascidian</t>
  </si>
  <si>
    <t>1 blue ray limpet</t>
  </si>
  <si>
    <t>not on datasheet</t>
  </si>
  <si>
    <t>broken at middle - 76cm remianing</t>
  </si>
  <si>
    <t>110notag</t>
  </si>
  <si>
    <t>AG34</t>
  </si>
  <si>
    <t>AG44</t>
  </si>
  <si>
    <t>123notag</t>
  </si>
  <si>
    <t>AG37</t>
  </si>
  <si>
    <t>1 x epiphyte</t>
  </si>
  <si>
    <t>150notag</t>
  </si>
  <si>
    <t>160notag</t>
  </si>
  <si>
    <t>AB23</t>
  </si>
  <si>
    <t>180notag</t>
  </si>
  <si>
    <t>AW8</t>
  </si>
  <si>
    <t>200notag</t>
  </si>
  <si>
    <t>AB30</t>
  </si>
  <si>
    <t>250notag</t>
  </si>
  <si>
    <t>AB28</t>
  </si>
  <si>
    <t>80notag</t>
  </si>
  <si>
    <t>AG35</t>
  </si>
  <si>
    <t>95notag</t>
  </si>
  <si>
    <t>AR3</t>
  </si>
  <si>
    <t>1 epiphytic algae</t>
  </si>
  <si>
    <t>unknown</t>
  </si>
  <si>
    <t>Swab_prior_enrichment</t>
  </si>
  <si>
    <t>Swab_after_ernichment_16_5</t>
  </si>
  <si>
    <t>AW1</t>
  </si>
  <si>
    <t>AW2</t>
  </si>
  <si>
    <t>AW4</t>
  </si>
  <si>
    <t>AR9</t>
  </si>
  <si>
    <t>AR1</t>
  </si>
  <si>
    <t>AR2</t>
  </si>
  <si>
    <t>AR4</t>
  </si>
  <si>
    <t>AR5</t>
  </si>
  <si>
    <t>AW5</t>
  </si>
  <si>
    <t>AW6</t>
  </si>
  <si>
    <t>AR6</t>
  </si>
  <si>
    <t>AW7</t>
  </si>
  <si>
    <t>AR7</t>
  </si>
  <si>
    <t>AR8</t>
  </si>
  <si>
    <t>AW9</t>
  </si>
  <si>
    <t>AW10</t>
  </si>
  <si>
    <t>AR10</t>
  </si>
  <si>
    <t>(6) 23</t>
  </si>
  <si>
    <t>AW11</t>
  </si>
  <si>
    <t>AW12</t>
  </si>
  <si>
    <t>AW13</t>
  </si>
  <si>
    <t>AW14</t>
  </si>
  <si>
    <t>AW15</t>
  </si>
  <si>
    <t>AW16</t>
  </si>
  <si>
    <t>AB17</t>
  </si>
  <si>
    <t>AB18</t>
  </si>
  <si>
    <t>AB19</t>
  </si>
  <si>
    <t>AB20</t>
  </si>
  <si>
    <t>AB21</t>
  </si>
  <si>
    <t>AB24</t>
  </si>
  <si>
    <t>AB25</t>
  </si>
  <si>
    <t>AB26</t>
  </si>
  <si>
    <t>AB27</t>
  </si>
  <si>
    <t>AB31</t>
  </si>
  <si>
    <t>AB32</t>
  </si>
  <si>
    <t>AB33</t>
  </si>
  <si>
    <t>AG36</t>
  </si>
  <si>
    <t>AG38</t>
  </si>
  <si>
    <t>AG39</t>
  </si>
  <si>
    <t>AG40</t>
  </si>
  <si>
    <t>AG41</t>
  </si>
  <si>
    <t>AG42</t>
  </si>
  <si>
    <t>AG43</t>
  </si>
  <si>
    <t>AG45</t>
  </si>
  <si>
    <t>AG46</t>
  </si>
  <si>
    <t>AG47</t>
  </si>
  <si>
    <t>AG48</t>
  </si>
  <si>
    <t>fell</t>
  </si>
  <si>
    <t>date</t>
  </si>
  <si>
    <t>Time</t>
  </si>
  <si>
    <t>Tank</t>
  </si>
  <si>
    <t>temperature</t>
  </si>
  <si>
    <t>pH</t>
  </si>
  <si>
    <t>Salinity</t>
  </si>
  <si>
    <t>waterchange</t>
  </si>
  <si>
    <t>16_5</t>
  </si>
  <si>
    <t>T1</t>
  </si>
  <si>
    <t>after</t>
  </si>
  <si>
    <t>T2</t>
  </si>
  <si>
    <t>T3</t>
  </si>
  <si>
    <t>T4</t>
  </si>
  <si>
    <t>T5</t>
  </si>
  <si>
    <t>T6</t>
  </si>
  <si>
    <t>T7</t>
  </si>
  <si>
    <t>15_5</t>
  </si>
  <si>
    <t>before</t>
  </si>
  <si>
    <t>id_unknown</t>
  </si>
  <si>
    <t>sampling_date</t>
  </si>
  <si>
    <t>unaccounted  for</t>
  </si>
  <si>
    <t>paired using length estimate</t>
  </si>
  <si>
    <t>white_3</t>
  </si>
  <si>
    <t>white_5</t>
  </si>
  <si>
    <t>red_8</t>
  </si>
  <si>
    <t>white_9</t>
  </si>
  <si>
    <t>red_9</t>
  </si>
  <si>
    <t>red_10</t>
  </si>
  <si>
    <t>white_14</t>
  </si>
  <si>
    <t>blue_22</t>
  </si>
  <si>
    <t>blue_29</t>
  </si>
  <si>
    <t>blue_33</t>
  </si>
  <si>
    <t>green_34</t>
  </si>
  <si>
    <t>green_38</t>
  </si>
  <si>
    <t>green_43</t>
  </si>
  <si>
    <t>16notag</t>
  </si>
  <si>
    <t>7 orange yelow</t>
  </si>
  <si>
    <t>longest_blade_b1</t>
  </si>
  <si>
    <t>colony_length</t>
  </si>
  <si>
    <t>colony_width</t>
  </si>
  <si>
    <t>total_blade_h</t>
  </si>
  <si>
    <t>total_blade_m</t>
  </si>
  <si>
    <t>1 x amphipod</t>
  </si>
  <si>
    <t>smaller blade fell of in sample bottle</t>
  </si>
  <si>
    <t>tank temp 14C</t>
  </si>
  <si>
    <t>bryo on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</si>
</sst>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0" fillId="0" borderId="1" xfId="0" applyBorder="1"/>
    <xf numFmtId="20" fontId="0" fillId="0" borderId="0" xfId="0" applyNumberFormat="1"/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5" borderId="2" xfId="0" applyFill="1" applyBorder="1"/>
    <xf numFmtId="9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0" fillId="6" borderId="2" xfId="0" applyFill="1" applyBorder="1" applyAlignment="1">
      <alignment horizontal="center"/>
    </xf>
    <xf numFmtId="0" fontId="0" fillId="6" borderId="0" xfId="0" applyFill="1"/>
    <xf numFmtId="0" fontId="0" fillId="6" borderId="2" xfId="0" applyFill="1" applyBorder="1"/>
    <xf numFmtId="0" fontId="0" fillId="7" borderId="2" xfId="0" applyFill="1" applyBorder="1" applyAlignment="1">
      <alignment horizontal="center"/>
    </xf>
    <xf numFmtId="0" fontId="0" fillId="7" borderId="0" xfId="0" applyFill="1"/>
    <xf numFmtId="0" fontId="0" fillId="7" borderId="2" xfId="0" applyFill="1" applyBorder="1"/>
    <xf numFmtId="0" fontId="0" fillId="8" borderId="2" xfId="0" applyFill="1" applyBorder="1" applyAlignment="1">
      <alignment horizontal="center"/>
    </xf>
    <xf numFmtId="0" fontId="0" fillId="8" borderId="0" xfId="0" applyFill="1"/>
    <xf numFmtId="0" fontId="0" fillId="8" borderId="2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um\OneDrive\Desktop\seaweeDNA\mesocosm\mill_mesocosm_full_data4.csv" TargetMode="External"/><Relationship Id="rId1" Type="http://schemas.openxmlformats.org/officeDocument/2006/relationships/externalLinkPath" Target="mill_mesocosm_full_data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ll_mesocosm_full_data4"/>
    </sheetNames>
    <sheetDataSet>
      <sheetData sheetId="0">
        <row r="1326">
          <cell r="M1326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AE63-9D19-4478-B2A8-EF45C911B515}">
  <sheetPr filterMode="1"/>
  <dimension ref="A1:O165"/>
  <sheetViews>
    <sheetView workbookViewId="0">
      <selection activeCell="D1" sqref="D1"/>
    </sheetView>
  </sheetViews>
  <sheetFormatPr defaultRowHeight="14.25" x14ac:dyDescent="0.45"/>
  <cols>
    <col min="1" max="1" width="2.73046875" bestFit="1" customWidth="1"/>
    <col min="2" max="2" width="13" bestFit="1" customWidth="1"/>
    <col min="3" max="3" width="12" bestFit="1" customWidth="1"/>
    <col min="4" max="4" width="10.86328125" bestFit="1" customWidth="1"/>
    <col min="5" max="5" width="9.265625" bestFit="1" customWidth="1"/>
    <col min="6" max="6" width="12.1328125" bestFit="1" customWidth="1"/>
    <col min="7" max="7" width="15" bestFit="1" customWidth="1"/>
    <col min="8" max="8" width="3" customWidth="1"/>
    <col min="9" max="9" width="4.1328125" customWidth="1"/>
    <col min="10" max="10" width="3.59765625" customWidth="1"/>
    <col min="11" max="11" width="3.3984375" customWidth="1"/>
    <col min="12" max="12" width="4" customWidth="1"/>
    <col min="13" max="13" width="9.73046875" bestFit="1" customWidth="1"/>
    <col min="14" max="14" width="16.1328125" bestFit="1" customWidth="1"/>
    <col min="15" max="15" width="18.3984375" bestFit="1" customWidth="1"/>
  </cols>
  <sheetData>
    <row r="1" spans="1:1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45">
      <c r="A2">
        <v>17</v>
      </c>
      <c r="B2" t="s">
        <v>15</v>
      </c>
      <c r="C2" t="s">
        <v>16</v>
      </c>
      <c r="D2">
        <v>1</v>
      </c>
      <c r="E2" t="s">
        <v>17</v>
      </c>
      <c r="F2">
        <v>130</v>
      </c>
      <c r="G2" t="s">
        <v>18</v>
      </c>
      <c r="K2">
        <v>2</v>
      </c>
      <c r="L2">
        <v>6</v>
      </c>
      <c r="M2" t="s">
        <v>19</v>
      </c>
      <c r="N2" t="s">
        <v>20</v>
      </c>
    </row>
    <row r="3" spans="1:15" hidden="1" x14ac:dyDescent="0.45">
      <c r="A3">
        <v>1</v>
      </c>
      <c r="B3" t="s">
        <v>15</v>
      </c>
      <c r="C3" t="s">
        <v>16</v>
      </c>
      <c r="D3">
        <v>2</v>
      </c>
      <c r="E3" t="s">
        <v>17</v>
      </c>
      <c r="F3">
        <v>120</v>
      </c>
      <c r="G3" t="s">
        <v>18</v>
      </c>
      <c r="K3">
        <v>3</v>
      </c>
      <c r="L3">
        <v>3</v>
      </c>
      <c r="M3" t="s">
        <v>21</v>
      </c>
      <c r="N3" t="s">
        <v>22</v>
      </c>
    </row>
    <row r="4" spans="1:15" hidden="1" x14ac:dyDescent="0.45">
      <c r="A4">
        <v>9</v>
      </c>
      <c r="B4" t="s">
        <v>15</v>
      </c>
      <c r="C4" t="s">
        <v>16</v>
      </c>
      <c r="D4">
        <v>4</v>
      </c>
      <c r="E4" t="s">
        <v>17</v>
      </c>
      <c r="F4">
        <v>130</v>
      </c>
      <c r="G4" t="s">
        <v>18</v>
      </c>
      <c r="K4">
        <v>1</v>
      </c>
      <c r="L4">
        <v>6</v>
      </c>
      <c r="M4" t="s">
        <v>19</v>
      </c>
      <c r="N4" t="s">
        <v>23</v>
      </c>
    </row>
    <row r="5" spans="1:15" hidden="1" x14ac:dyDescent="0.45">
      <c r="A5">
        <v>20</v>
      </c>
      <c r="B5" t="s">
        <v>15</v>
      </c>
      <c r="C5" t="s">
        <v>24</v>
      </c>
      <c r="D5">
        <v>9</v>
      </c>
      <c r="E5" t="s">
        <v>25</v>
      </c>
      <c r="F5">
        <v>130</v>
      </c>
      <c r="G5" t="s">
        <v>18</v>
      </c>
      <c r="K5">
        <v>2</v>
      </c>
      <c r="L5">
        <v>6</v>
      </c>
      <c r="M5" t="s">
        <v>19</v>
      </c>
      <c r="N5" t="s">
        <v>20</v>
      </c>
    </row>
    <row r="6" spans="1:15" hidden="1" x14ac:dyDescent="0.45">
      <c r="A6">
        <v>23</v>
      </c>
      <c r="B6" t="s">
        <v>15</v>
      </c>
      <c r="C6" t="s">
        <v>24</v>
      </c>
      <c r="D6">
        <v>1</v>
      </c>
      <c r="E6" t="s">
        <v>25</v>
      </c>
      <c r="F6">
        <v>100</v>
      </c>
      <c r="G6" t="s">
        <v>18</v>
      </c>
      <c r="J6">
        <v>3</v>
      </c>
      <c r="K6">
        <v>1</v>
      </c>
      <c r="L6">
        <v>7</v>
      </c>
      <c r="M6" t="s">
        <v>21</v>
      </c>
      <c r="N6" t="s">
        <v>23</v>
      </c>
    </row>
    <row r="7" spans="1:15" hidden="1" x14ac:dyDescent="0.45">
      <c r="A7">
        <v>19</v>
      </c>
      <c r="B7" t="s">
        <v>15</v>
      </c>
      <c r="C7" t="s">
        <v>24</v>
      </c>
      <c r="D7">
        <v>2</v>
      </c>
      <c r="E7" t="s">
        <v>25</v>
      </c>
      <c r="F7">
        <v>110</v>
      </c>
      <c r="G7" t="s">
        <v>18</v>
      </c>
      <c r="J7">
        <v>4</v>
      </c>
      <c r="K7">
        <v>2</v>
      </c>
      <c r="L7">
        <v>7</v>
      </c>
      <c r="M7" t="s">
        <v>21</v>
      </c>
      <c r="N7" t="s">
        <v>20</v>
      </c>
    </row>
    <row r="8" spans="1:15" hidden="1" x14ac:dyDescent="0.45">
      <c r="A8">
        <v>12</v>
      </c>
      <c r="B8" t="s">
        <v>15</v>
      </c>
      <c r="C8" t="s">
        <v>24</v>
      </c>
      <c r="D8">
        <v>3</v>
      </c>
      <c r="E8" t="s">
        <v>25</v>
      </c>
      <c r="F8">
        <v>80</v>
      </c>
      <c r="G8" t="s">
        <v>18</v>
      </c>
      <c r="J8">
        <v>2</v>
      </c>
      <c r="K8">
        <v>3</v>
      </c>
      <c r="L8">
        <v>5</v>
      </c>
      <c r="M8" t="s">
        <v>21</v>
      </c>
      <c r="N8" t="s">
        <v>22</v>
      </c>
    </row>
    <row r="9" spans="1:15" hidden="1" x14ac:dyDescent="0.45">
      <c r="A9">
        <v>14</v>
      </c>
      <c r="B9" t="s">
        <v>15</v>
      </c>
      <c r="C9" t="s">
        <v>16</v>
      </c>
      <c r="D9">
        <v>3</v>
      </c>
      <c r="E9" t="s">
        <v>25</v>
      </c>
      <c r="F9">
        <v>162</v>
      </c>
      <c r="G9" t="s">
        <v>18</v>
      </c>
      <c r="J9">
        <v>1</v>
      </c>
      <c r="K9">
        <v>2</v>
      </c>
      <c r="L9">
        <v>4</v>
      </c>
      <c r="M9" t="s">
        <v>19</v>
      </c>
      <c r="N9" t="s">
        <v>20</v>
      </c>
    </row>
    <row r="10" spans="1:15" hidden="1" x14ac:dyDescent="0.45">
      <c r="A10">
        <v>16</v>
      </c>
      <c r="B10" t="s">
        <v>15</v>
      </c>
      <c r="C10" t="s">
        <v>24</v>
      </c>
      <c r="D10">
        <v>4</v>
      </c>
      <c r="E10" t="s">
        <v>25</v>
      </c>
      <c r="F10">
        <v>81</v>
      </c>
      <c r="G10" t="s">
        <v>18</v>
      </c>
      <c r="J10">
        <v>2</v>
      </c>
      <c r="K10">
        <v>2</v>
      </c>
      <c r="L10">
        <v>7</v>
      </c>
      <c r="M10" t="s">
        <v>21</v>
      </c>
      <c r="N10" t="s">
        <v>20</v>
      </c>
    </row>
    <row r="11" spans="1:15" hidden="1" x14ac:dyDescent="0.45">
      <c r="A11">
        <v>8</v>
      </c>
      <c r="B11" t="s">
        <v>15</v>
      </c>
      <c r="C11" t="s">
        <v>24</v>
      </c>
      <c r="D11">
        <v>5</v>
      </c>
      <c r="E11" t="s">
        <v>25</v>
      </c>
      <c r="F11">
        <v>64</v>
      </c>
      <c r="G11" t="s">
        <v>18</v>
      </c>
      <c r="J11">
        <v>2</v>
      </c>
      <c r="K11">
        <v>3</v>
      </c>
      <c r="L11">
        <v>6</v>
      </c>
      <c r="M11" t="s">
        <v>19</v>
      </c>
      <c r="N11" t="s">
        <v>22</v>
      </c>
    </row>
    <row r="12" spans="1:15" hidden="1" x14ac:dyDescent="0.45">
      <c r="A12">
        <v>18</v>
      </c>
      <c r="B12" t="s">
        <v>15</v>
      </c>
      <c r="C12" t="s">
        <v>16</v>
      </c>
      <c r="D12">
        <v>5</v>
      </c>
      <c r="E12" t="s">
        <v>25</v>
      </c>
      <c r="F12">
        <v>163</v>
      </c>
      <c r="G12" t="s">
        <v>18</v>
      </c>
      <c r="J12">
        <v>2</v>
      </c>
      <c r="K12">
        <v>2</v>
      </c>
      <c r="L12">
        <v>3</v>
      </c>
      <c r="M12" t="s">
        <v>21</v>
      </c>
      <c r="N12" t="s">
        <v>20</v>
      </c>
    </row>
    <row r="13" spans="1:15" hidden="1" x14ac:dyDescent="0.45">
      <c r="A13">
        <v>21</v>
      </c>
      <c r="B13" t="s">
        <v>15</v>
      </c>
      <c r="C13" t="s">
        <v>16</v>
      </c>
      <c r="D13">
        <v>6</v>
      </c>
      <c r="E13" t="s">
        <v>25</v>
      </c>
      <c r="F13">
        <v>180</v>
      </c>
      <c r="G13" t="s">
        <v>18</v>
      </c>
      <c r="J13">
        <v>2</v>
      </c>
      <c r="K13">
        <v>1</v>
      </c>
      <c r="L13">
        <v>4</v>
      </c>
      <c r="M13" t="s">
        <v>19</v>
      </c>
      <c r="N13" t="s">
        <v>23</v>
      </c>
    </row>
    <row r="14" spans="1:15" hidden="1" x14ac:dyDescent="0.45">
      <c r="A14">
        <v>24</v>
      </c>
      <c r="B14" t="s">
        <v>15</v>
      </c>
      <c r="C14" t="s">
        <v>24</v>
      </c>
      <c r="D14">
        <v>6</v>
      </c>
      <c r="E14" t="s">
        <v>25</v>
      </c>
      <c r="F14">
        <v>92</v>
      </c>
      <c r="G14" t="s">
        <v>18</v>
      </c>
      <c r="J14">
        <v>2</v>
      </c>
      <c r="K14">
        <v>3</v>
      </c>
      <c r="L14">
        <v>4</v>
      </c>
      <c r="M14" t="s">
        <v>19</v>
      </c>
      <c r="N14" t="s">
        <v>22</v>
      </c>
    </row>
    <row r="15" spans="1:15" hidden="1" x14ac:dyDescent="0.45">
      <c r="A15">
        <v>5</v>
      </c>
      <c r="B15" t="s">
        <v>15</v>
      </c>
      <c r="C15" t="s">
        <v>16</v>
      </c>
      <c r="D15">
        <v>7</v>
      </c>
      <c r="E15" t="s">
        <v>25</v>
      </c>
      <c r="F15">
        <v>190</v>
      </c>
      <c r="G15" t="s">
        <v>18</v>
      </c>
      <c r="J15">
        <v>2</v>
      </c>
      <c r="K15">
        <v>3</v>
      </c>
      <c r="L15">
        <v>7</v>
      </c>
      <c r="M15" t="s">
        <v>21</v>
      </c>
      <c r="N15" t="s">
        <v>22</v>
      </c>
    </row>
    <row r="16" spans="1:15" hidden="1" x14ac:dyDescent="0.45">
      <c r="A16">
        <v>25</v>
      </c>
      <c r="B16" t="s">
        <v>15</v>
      </c>
      <c r="C16" t="s">
        <v>24</v>
      </c>
      <c r="D16">
        <v>7</v>
      </c>
      <c r="E16" t="s">
        <v>25</v>
      </c>
      <c r="F16">
        <v>60</v>
      </c>
      <c r="G16" t="s">
        <v>18</v>
      </c>
      <c r="J16">
        <v>2</v>
      </c>
      <c r="K16">
        <v>1</v>
      </c>
      <c r="L16">
        <v>3</v>
      </c>
      <c r="M16" t="s">
        <v>21</v>
      </c>
      <c r="N16" t="s">
        <v>23</v>
      </c>
    </row>
    <row r="17" spans="1:14" hidden="1" x14ac:dyDescent="0.45">
      <c r="A17">
        <v>4</v>
      </c>
      <c r="B17" t="s">
        <v>15</v>
      </c>
      <c r="C17" t="s">
        <v>24</v>
      </c>
      <c r="D17">
        <v>8</v>
      </c>
      <c r="E17" t="s">
        <v>25</v>
      </c>
      <c r="F17">
        <v>61</v>
      </c>
      <c r="G17" t="s">
        <v>18</v>
      </c>
      <c r="J17">
        <v>2</v>
      </c>
      <c r="K17">
        <v>2</v>
      </c>
      <c r="N17" t="s">
        <v>20</v>
      </c>
    </row>
    <row r="18" spans="1:14" hidden="1" x14ac:dyDescent="0.45">
      <c r="A18">
        <v>22</v>
      </c>
      <c r="B18" t="s">
        <v>15</v>
      </c>
      <c r="C18" t="s">
        <v>16</v>
      </c>
      <c r="D18">
        <v>8</v>
      </c>
      <c r="E18" t="s">
        <v>25</v>
      </c>
      <c r="F18">
        <v>170</v>
      </c>
      <c r="G18" t="s">
        <v>18</v>
      </c>
      <c r="J18">
        <v>2</v>
      </c>
      <c r="K18">
        <v>1</v>
      </c>
      <c r="L18">
        <v>2</v>
      </c>
      <c r="M18" t="s">
        <v>19</v>
      </c>
      <c r="N18" t="s">
        <v>23</v>
      </c>
    </row>
    <row r="19" spans="1:14" hidden="1" x14ac:dyDescent="0.45">
      <c r="A19">
        <v>13</v>
      </c>
      <c r="B19" t="s">
        <v>15</v>
      </c>
      <c r="C19" t="s">
        <v>16</v>
      </c>
      <c r="D19">
        <v>9</v>
      </c>
      <c r="E19" t="s">
        <v>17</v>
      </c>
      <c r="F19">
        <v>120</v>
      </c>
      <c r="G19" t="s">
        <v>18</v>
      </c>
      <c r="J19">
        <v>1</v>
      </c>
      <c r="K19">
        <v>3</v>
      </c>
      <c r="L19">
        <v>5</v>
      </c>
      <c r="M19" t="s">
        <v>21</v>
      </c>
      <c r="N19" t="s">
        <v>22</v>
      </c>
    </row>
    <row r="20" spans="1:14" hidden="1" x14ac:dyDescent="0.45">
      <c r="A20">
        <v>11</v>
      </c>
      <c r="B20" t="s">
        <v>15</v>
      </c>
      <c r="C20" t="s">
        <v>16</v>
      </c>
      <c r="D20">
        <v>10</v>
      </c>
      <c r="E20" t="s">
        <v>25</v>
      </c>
      <c r="F20">
        <v>123</v>
      </c>
      <c r="G20" t="s">
        <v>18</v>
      </c>
      <c r="J20">
        <v>3</v>
      </c>
      <c r="K20">
        <v>1</v>
      </c>
      <c r="L20">
        <v>5</v>
      </c>
      <c r="M20" t="s">
        <v>21</v>
      </c>
      <c r="N20" t="s">
        <v>23</v>
      </c>
    </row>
    <row r="21" spans="1:14" hidden="1" x14ac:dyDescent="0.45">
      <c r="A21">
        <v>26</v>
      </c>
      <c r="B21" t="s">
        <v>15</v>
      </c>
      <c r="C21" t="s">
        <v>24</v>
      </c>
      <c r="D21">
        <v>10</v>
      </c>
      <c r="E21" t="s">
        <v>25</v>
      </c>
      <c r="F21">
        <v>60</v>
      </c>
      <c r="G21" t="s">
        <v>18</v>
      </c>
      <c r="J21">
        <v>1</v>
      </c>
      <c r="K21">
        <v>1</v>
      </c>
      <c r="N21" t="s">
        <v>23</v>
      </c>
    </row>
    <row r="22" spans="1:14" hidden="1" x14ac:dyDescent="0.45">
      <c r="A22">
        <v>10</v>
      </c>
      <c r="B22" t="s">
        <v>15</v>
      </c>
      <c r="C22" t="s">
        <v>16</v>
      </c>
      <c r="D22">
        <v>11</v>
      </c>
      <c r="E22" t="s">
        <v>25</v>
      </c>
      <c r="F22">
        <v>150</v>
      </c>
      <c r="G22" t="s">
        <v>18</v>
      </c>
      <c r="J22">
        <v>3</v>
      </c>
      <c r="K22">
        <v>3</v>
      </c>
      <c r="L22">
        <v>2</v>
      </c>
      <c r="M22" t="s">
        <v>19</v>
      </c>
      <c r="N22" t="s">
        <v>22</v>
      </c>
    </row>
    <row r="23" spans="1:14" hidden="1" x14ac:dyDescent="0.45">
      <c r="A23">
        <v>2</v>
      </c>
      <c r="B23" t="s">
        <v>15</v>
      </c>
      <c r="C23" t="s">
        <v>16</v>
      </c>
      <c r="D23">
        <v>12</v>
      </c>
      <c r="E23" t="s">
        <v>25</v>
      </c>
      <c r="F23">
        <v>130</v>
      </c>
      <c r="G23" t="s">
        <v>18</v>
      </c>
      <c r="J23">
        <v>3</v>
      </c>
      <c r="K23">
        <v>2</v>
      </c>
      <c r="L23">
        <v>2</v>
      </c>
      <c r="M23" t="s">
        <v>19</v>
      </c>
      <c r="N23" t="s">
        <v>20</v>
      </c>
    </row>
    <row r="24" spans="1:14" hidden="1" x14ac:dyDescent="0.45">
      <c r="A24">
        <v>6</v>
      </c>
      <c r="B24" t="s">
        <v>15</v>
      </c>
      <c r="C24" t="s">
        <v>16</v>
      </c>
      <c r="D24">
        <v>13</v>
      </c>
      <c r="E24" t="s">
        <v>25</v>
      </c>
      <c r="F24">
        <v>140</v>
      </c>
      <c r="G24" t="s">
        <v>18</v>
      </c>
      <c r="J24">
        <v>4</v>
      </c>
      <c r="K24">
        <v>1</v>
      </c>
      <c r="L24">
        <v>3</v>
      </c>
      <c r="M24" t="s">
        <v>21</v>
      </c>
      <c r="N24" t="s">
        <v>23</v>
      </c>
    </row>
    <row r="25" spans="1:14" hidden="1" x14ac:dyDescent="0.45">
      <c r="A25">
        <v>3</v>
      </c>
      <c r="B25" t="s">
        <v>15</v>
      </c>
      <c r="C25" t="s">
        <v>16</v>
      </c>
      <c r="D25">
        <v>14</v>
      </c>
      <c r="E25" t="s">
        <v>25</v>
      </c>
      <c r="F25">
        <v>130</v>
      </c>
      <c r="G25" t="s">
        <v>18</v>
      </c>
      <c r="J25">
        <v>3</v>
      </c>
      <c r="K25">
        <v>3</v>
      </c>
      <c r="L25">
        <v>6</v>
      </c>
      <c r="M25" t="s">
        <v>19</v>
      </c>
      <c r="N25" t="s">
        <v>22</v>
      </c>
    </row>
    <row r="26" spans="1:14" hidden="1" x14ac:dyDescent="0.45">
      <c r="A26">
        <v>15</v>
      </c>
      <c r="B26" t="s">
        <v>15</v>
      </c>
      <c r="C26" t="s">
        <v>16</v>
      </c>
      <c r="D26">
        <v>15</v>
      </c>
      <c r="E26" t="s">
        <v>25</v>
      </c>
      <c r="F26">
        <v>115</v>
      </c>
      <c r="G26" t="s">
        <v>18</v>
      </c>
      <c r="J26">
        <v>3</v>
      </c>
      <c r="K26">
        <v>3</v>
      </c>
      <c r="L26">
        <v>7</v>
      </c>
      <c r="M26" t="s">
        <v>21</v>
      </c>
      <c r="N26" t="s">
        <v>22</v>
      </c>
    </row>
    <row r="27" spans="1:14" hidden="1" x14ac:dyDescent="0.45">
      <c r="A27">
        <v>7</v>
      </c>
      <c r="B27" t="s">
        <v>15</v>
      </c>
      <c r="C27" t="s">
        <v>16</v>
      </c>
      <c r="D27">
        <v>16</v>
      </c>
      <c r="E27" t="s">
        <v>25</v>
      </c>
      <c r="F27">
        <v>130</v>
      </c>
      <c r="G27" t="s">
        <v>18</v>
      </c>
      <c r="J27">
        <v>3</v>
      </c>
      <c r="K27">
        <v>2</v>
      </c>
      <c r="L27">
        <v>5</v>
      </c>
      <c r="M27" t="s">
        <v>21</v>
      </c>
      <c r="N27" t="s">
        <v>20</v>
      </c>
    </row>
    <row r="28" spans="1:14" hidden="1" x14ac:dyDescent="0.45">
      <c r="A28">
        <v>27</v>
      </c>
      <c r="B28" t="s">
        <v>15</v>
      </c>
      <c r="C28" t="s">
        <v>26</v>
      </c>
      <c r="D28">
        <v>17</v>
      </c>
      <c r="E28" t="s">
        <v>27</v>
      </c>
      <c r="F28">
        <v>190</v>
      </c>
      <c r="G28" t="s">
        <v>28</v>
      </c>
      <c r="H28" t="s">
        <v>29</v>
      </c>
      <c r="K28">
        <v>5</v>
      </c>
      <c r="L28">
        <v>6</v>
      </c>
      <c r="M28" t="s">
        <v>19</v>
      </c>
      <c r="N28" t="s">
        <v>23</v>
      </c>
    </row>
    <row r="29" spans="1:14" hidden="1" x14ac:dyDescent="0.45">
      <c r="A29">
        <v>28</v>
      </c>
      <c r="B29" t="s">
        <v>15</v>
      </c>
      <c r="C29" t="s">
        <v>26</v>
      </c>
      <c r="D29">
        <v>18</v>
      </c>
      <c r="E29" t="s">
        <v>27</v>
      </c>
      <c r="F29">
        <v>120</v>
      </c>
      <c r="G29" t="s">
        <v>28</v>
      </c>
      <c r="H29" t="s">
        <v>30</v>
      </c>
      <c r="K29">
        <v>5</v>
      </c>
      <c r="L29">
        <v>4</v>
      </c>
      <c r="M29" t="s">
        <v>19</v>
      </c>
      <c r="N29" t="s">
        <v>23</v>
      </c>
    </row>
    <row r="30" spans="1:14" hidden="1" x14ac:dyDescent="0.45">
      <c r="A30">
        <v>29</v>
      </c>
      <c r="B30" t="s">
        <v>15</v>
      </c>
      <c r="C30" t="s">
        <v>26</v>
      </c>
      <c r="D30">
        <v>19</v>
      </c>
      <c r="E30" t="s">
        <v>27</v>
      </c>
      <c r="F30">
        <v>150</v>
      </c>
      <c r="G30" t="s">
        <v>28</v>
      </c>
      <c r="H30" t="s">
        <v>31</v>
      </c>
      <c r="K30">
        <v>6</v>
      </c>
      <c r="L30">
        <v>5</v>
      </c>
      <c r="M30" t="s">
        <v>21</v>
      </c>
      <c r="N30" t="s">
        <v>20</v>
      </c>
    </row>
    <row r="31" spans="1:14" hidden="1" x14ac:dyDescent="0.45">
      <c r="A31">
        <v>30</v>
      </c>
      <c r="B31" t="s">
        <v>15</v>
      </c>
      <c r="C31" t="s">
        <v>26</v>
      </c>
      <c r="D31">
        <v>20</v>
      </c>
      <c r="E31" t="s">
        <v>27</v>
      </c>
      <c r="F31">
        <v>270</v>
      </c>
      <c r="G31" t="s">
        <v>28</v>
      </c>
      <c r="H31" t="s">
        <v>32</v>
      </c>
      <c r="K31">
        <v>7</v>
      </c>
      <c r="L31">
        <v>4</v>
      </c>
      <c r="M31" t="s">
        <v>19</v>
      </c>
      <c r="N31" t="s">
        <v>22</v>
      </c>
    </row>
    <row r="32" spans="1:14" hidden="1" x14ac:dyDescent="0.45">
      <c r="A32">
        <v>31</v>
      </c>
      <c r="B32" t="s">
        <v>15</v>
      </c>
      <c r="C32" t="s">
        <v>26</v>
      </c>
      <c r="D32">
        <v>21</v>
      </c>
      <c r="E32" t="s">
        <v>27</v>
      </c>
      <c r="F32">
        <v>240</v>
      </c>
      <c r="G32" t="s">
        <v>28</v>
      </c>
      <c r="H32" t="s">
        <v>33</v>
      </c>
      <c r="K32">
        <v>6</v>
      </c>
      <c r="L32">
        <v>2</v>
      </c>
      <c r="M32" t="s">
        <v>19</v>
      </c>
      <c r="N32" t="s">
        <v>20</v>
      </c>
    </row>
    <row r="33" spans="1:14" hidden="1" x14ac:dyDescent="0.45">
      <c r="A33">
        <v>32</v>
      </c>
      <c r="B33" t="s">
        <v>15</v>
      </c>
      <c r="C33" t="s">
        <v>26</v>
      </c>
      <c r="D33">
        <v>22</v>
      </c>
      <c r="E33" t="s">
        <v>27</v>
      </c>
      <c r="F33">
        <v>250</v>
      </c>
      <c r="G33" t="s">
        <v>28</v>
      </c>
      <c r="H33" t="s">
        <v>34</v>
      </c>
      <c r="K33">
        <v>7</v>
      </c>
      <c r="L33">
        <v>5</v>
      </c>
      <c r="M33" t="s">
        <v>21</v>
      </c>
      <c r="N33" t="s">
        <v>22</v>
      </c>
    </row>
    <row r="34" spans="1:14" hidden="1" x14ac:dyDescent="0.45">
      <c r="A34">
        <v>33</v>
      </c>
      <c r="B34" t="s">
        <v>15</v>
      </c>
      <c r="C34" t="s">
        <v>26</v>
      </c>
      <c r="D34">
        <v>23</v>
      </c>
      <c r="E34" t="s">
        <v>27</v>
      </c>
      <c r="F34">
        <v>240</v>
      </c>
      <c r="G34" t="s">
        <v>28</v>
      </c>
      <c r="H34" t="s">
        <v>35</v>
      </c>
      <c r="K34">
        <v>5</v>
      </c>
      <c r="L34">
        <v>2</v>
      </c>
      <c r="M34" t="s">
        <v>19</v>
      </c>
      <c r="N34" t="s">
        <v>23</v>
      </c>
    </row>
    <row r="35" spans="1:14" hidden="1" x14ac:dyDescent="0.45">
      <c r="A35">
        <v>34</v>
      </c>
      <c r="B35" t="s">
        <v>15</v>
      </c>
      <c r="C35" t="s">
        <v>26</v>
      </c>
      <c r="D35">
        <v>24</v>
      </c>
      <c r="E35" t="s">
        <v>27</v>
      </c>
      <c r="F35">
        <v>200</v>
      </c>
      <c r="G35" t="s">
        <v>28</v>
      </c>
      <c r="H35" t="s">
        <v>36</v>
      </c>
      <c r="K35">
        <v>6</v>
      </c>
      <c r="L35">
        <v>6</v>
      </c>
      <c r="M35" t="s">
        <v>19</v>
      </c>
      <c r="N35" t="s">
        <v>20</v>
      </c>
    </row>
    <row r="36" spans="1:14" hidden="1" x14ac:dyDescent="0.45">
      <c r="A36">
        <v>35</v>
      </c>
      <c r="B36" t="s">
        <v>15</v>
      </c>
      <c r="C36" t="s">
        <v>26</v>
      </c>
      <c r="D36">
        <v>25</v>
      </c>
      <c r="E36" t="s">
        <v>27</v>
      </c>
      <c r="F36">
        <v>160</v>
      </c>
      <c r="G36" t="s">
        <v>28</v>
      </c>
      <c r="H36" t="s">
        <v>37</v>
      </c>
      <c r="K36">
        <v>7</v>
      </c>
      <c r="L36">
        <v>2</v>
      </c>
      <c r="M36" t="s">
        <v>19</v>
      </c>
      <c r="N36" t="s">
        <v>22</v>
      </c>
    </row>
    <row r="37" spans="1:14" hidden="1" x14ac:dyDescent="0.45">
      <c r="A37">
        <v>36</v>
      </c>
      <c r="B37" t="s">
        <v>15</v>
      </c>
      <c r="C37" t="s">
        <v>26</v>
      </c>
      <c r="D37">
        <v>26</v>
      </c>
      <c r="E37" t="s">
        <v>27</v>
      </c>
      <c r="F37">
        <v>190</v>
      </c>
      <c r="G37" t="s">
        <v>28</v>
      </c>
      <c r="H37" t="s">
        <v>38</v>
      </c>
      <c r="K37">
        <v>5</v>
      </c>
      <c r="L37">
        <v>3</v>
      </c>
      <c r="M37" t="s">
        <v>21</v>
      </c>
      <c r="N37" t="s">
        <v>23</v>
      </c>
    </row>
    <row r="38" spans="1:14" hidden="1" x14ac:dyDescent="0.45">
      <c r="A38">
        <v>37</v>
      </c>
      <c r="B38" t="s">
        <v>15</v>
      </c>
      <c r="C38" t="s">
        <v>26</v>
      </c>
      <c r="D38">
        <v>27</v>
      </c>
      <c r="E38" t="s">
        <v>27</v>
      </c>
      <c r="F38">
        <v>210</v>
      </c>
      <c r="G38" t="s">
        <v>28</v>
      </c>
      <c r="H38" t="s">
        <v>39</v>
      </c>
      <c r="K38">
        <v>6</v>
      </c>
      <c r="L38">
        <v>3</v>
      </c>
      <c r="M38" t="s">
        <v>21</v>
      </c>
      <c r="N38" t="s">
        <v>20</v>
      </c>
    </row>
    <row r="39" spans="1:14" hidden="1" x14ac:dyDescent="0.45">
      <c r="A39">
        <v>38</v>
      </c>
      <c r="B39" t="s">
        <v>15</v>
      </c>
      <c r="C39" t="s">
        <v>26</v>
      </c>
      <c r="D39">
        <v>28</v>
      </c>
      <c r="E39" t="s">
        <v>27</v>
      </c>
      <c r="F39">
        <v>320</v>
      </c>
      <c r="G39" t="s">
        <v>28</v>
      </c>
      <c r="H39" t="s">
        <v>40</v>
      </c>
      <c r="K39">
        <v>7</v>
      </c>
      <c r="L39">
        <v>6</v>
      </c>
      <c r="M39" t="s">
        <v>19</v>
      </c>
      <c r="N39" t="s">
        <v>22</v>
      </c>
    </row>
    <row r="40" spans="1:14" hidden="1" x14ac:dyDescent="0.45">
      <c r="A40">
        <v>39</v>
      </c>
      <c r="B40" t="s">
        <v>15</v>
      </c>
      <c r="C40" t="s">
        <v>26</v>
      </c>
      <c r="D40">
        <v>29</v>
      </c>
      <c r="E40" t="s">
        <v>27</v>
      </c>
      <c r="F40">
        <v>230</v>
      </c>
      <c r="G40" t="s">
        <v>28</v>
      </c>
      <c r="H40" t="s">
        <v>41</v>
      </c>
      <c r="K40">
        <v>5</v>
      </c>
      <c r="L40">
        <v>5</v>
      </c>
      <c r="M40" t="s">
        <v>21</v>
      </c>
      <c r="N40" t="s">
        <v>23</v>
      </c>
    </row>
    <row r="41" spans="1:14" hidden="1" x14ac:dyDescent="0.45">
      <c r="A41">
        <v>40</v>
      </c>
      <c r="B41" t="s">
        <v>15</v>
      </c>
      <c r="C41" t="s">
        <v>26</v>
      </c>
      <c r="D41">
        <v>30</v>
      </c>
      <c r="E41" t="s">
        <v>27</v>
      </c>
      <c r="F41">
        <v>200</v>
      </c>
      <c r="G41" t="s">
        <v>28</v>
      </c>
      <c r="H41" t="s">
        <v>42</v>
      </c>
      <c r="K41">
        <v>6</v>
      </c>
      <c r="L41">
        <v>4</v>
      </c>
      <c r="M41" t="s">
        <v>19</v>
      </c>
      <c r="N41" t="s">
        <v>20</v>
      </c>
    </row>
    <row r="42" spans="1:14" hidden="1" x14ac:dyDescent="0.45">
      <c r="A42">
        <v>41</v>
      </c>
      <c r="B42" t="s">
        <v>15</v>
      </c>
      <c r="C42" t="s">
        <v>26</v>
      </c>
      <c r="D42">
        <v>31</v>
      </c>
      <c r="E42" t="s">
        <v>27</v>
      </c>
      <c r="F42">
        <v>240</v>
      </c>
      <c r="G42" t="s">
        <v>28</v>
      </c>
      <c r="H42" t="s">
        <v>43</v>
      </c>
      <c r="K42">
        <v>7</v>
      </c>
      <c r="L42">
        <v>3</v>
      </c>
      <c r="M42" t="s">
        <v>21</v>
      </c>
      <c r="N42" t="s">
        <v>22</v>
      </c>
    </row>
    <row r="43" spans="1:14" hidden="1" x14ac:dyDescent="0.45">
      <c r="A43">
        <v>42</v>
      </c>
      <c r="B43" t="s">
        <v>15</v>
      </c>
      <c r="C43" t="s">
        <v>26</v>
      </c>
      <c r="D43">
        <v>32</v>
      </c>
      <c r="E43" t="s">
        <v>27</v>
      </c>
      <c r="F43">
        <v>120</v>
      </c>
      <c r="G43" t="s">
        <v>28</v>
      </c>
      <c r="H43" t="s">
        <v>37</v>
      </c>
      <c r="K43">
        <v>5</v>
      </c>
      <c r="L43">
        <v>7</v>
      </c>
      <c r="M43" t="s">
        <v>21</v>
      </c>
      <c r="N43" t="s">
        <v>23</v>
      </c>
    </row>
    <row r="44" spans="1:14" hidden="1" x14ac:dyDescent="0.45">
      <c r="A44">
        <v>43</v>
      </c>
      <c r="B44" t="s">
        <v>15</v>
      </c>
      <c r="C44" t="s">
        <v>26</v>
      </c>
      <c r="D44">
        <v>33</v>
      </c>
      <c r="E44" t="s">
        <v>27</v>
      </c>
      <c r="F44">
        <v>170</v>
      </c>
      <c r="G44" t="s">
        <v>28</v>
      </c>
      <c r="H44" t="s">
        <v>44</v>
      </c>
      <c r="K44">
        <v>6</v>
      </c>
      <c r="L44">
        <v>7</v>
      </c>
      <c r="M44" t="s">
        <v>21</v>
      </c>
      <c r="N44" t="s">
        <v>20</v>
      </c>
    </row>
    <row r="45" spans="1:14" hidden="1" x14ac:dyDescent="0.45">
      <c r="A45">
        <v>44</v>
      </c>
      <c r="B45" t="s">
        <v>15</v>
      </c>
      <c r="C45" t="s">
        <v>45</v>
      </c>
      <c r="D45">
        <v>34</v>
      </c>
      <c r="E45" t="s">
        <v>27</v>
      </c>
      <c r="F45">
        <v>66</v>
      </c>
      <c r="G45" t="s">
        <v>28</v>
      </c>
      <c r="H45" t="s">
        <v>37</v>
      </c>
      <c r="K45">
        <v>7</v>
      </c>
      <c r="L45">
        <v>7</v>
      </c>
      <c r="M45" t="s">
        <v>21</v>
      </c>
      <c r="N45" t="s">
        <v>22</v>
      </c>
    </row>
    <row r="46" spans="1:14" hidden="1" x14ac:dyDescent="0.45">
      <c r="A46">
        <v>45</v>
      </c>
      <c r="B46" t="s">
        <v>15</v>
      </c>
      <c r="C46" t="s">
        <v>45</v>
      </c>
      <c r="D46">
        <v>35</v>
      </c>
      <c r="E46" t="s">
        <v>27</v>
      </c>
      <c r="F46">
        <v>65</v>
      </c>
      <c r="G46" t="s">
        <v>28</v>
      </c>
      <c r="H46" t="s">
        <v>37</v>
      </c>
      <c r="K46">
        <v>5</v>
      </c>
      <c r="L46">
        <v>2</v>
      </c>
      <c r="M46" t="s">
        <v>19</v>
      </c>
      <c r="N46" t="s">
        <v>23</v>
      </c>
    </row>
    <row r="47" spans="1:14" hidden="1" x14ac:dyDescent="0.45">
      <c r="A47">
        <v>46</v>
      </c>
      <c r="B47" t="s">
        <v>15</v>
      </c>
      <c r="C47" t="s">
        <v>45</v>
      </c>
      <c r="D47">
        <v>36</v>
      </c>
      <c r="E47" t="s">
        <v>27</v>
      </c>
      <c r="F47">
        <v>175</v>
      </c>
      <c r="G47" t="s">
        <v>28</v>
      </c>
      <c r="H47" t="s">
        <v>46</v>
      </c>
      <c r="K47">
        <v>6</v>
      </c>
      <c r="L47">
        <v>5</v>
      </c>
      <c r="M47" t="s">
        <v>21</v>
      </c>
      <c r="N47" t="s">
        <v>20</v>
      </c>
    </row>
    <row r="48" spans="1:14" hidden="1" x14ac:dyDescent="0.45">
      <c r="A48">
        <v>47</v>
      </c>
      <c r="B48" t="s">
        <v>15</v>
      </c>
      <c r="C48" t="s">
        <v>45</v>
      </c>
      <c r="D48">
        <v>37</v>
      </c>
      <c r="E48" t="s">
        <v>27</v>
      </c>
      <c r="F48">
        <v>200</v>
      </c>
      <c r="G48" t="s">
        <v>28</v>
      </c>
      <c r="H48" t="s">
        <v>47</v>
      </c>
      <c r="K48">
        <v>7</v>
      </c>
      <c r="L48">
        <v>3</v>
      </c>
      <c r="M48" t="s">
        <v>21</v>
      </c>
      <c r="N48" t="s">
        <v>22</v>
      </c>
    </row>
    <row r="49" spans="1:14" hidden="1" x14ac:dyDescent="0.45">
      <c r="A49">
        <v>48</v>
      </c>
      <c r="B49" t="s">
        <v>15</v>
      </c>
      <c r="C49" t="s">
        <v>45</v>
      </c>
      <c r="D49">
        <v>38</v>
      </c>
      <c r="E49" t="s">
        <v>27</v>
      </c>
      <c r="F49">
        <v>40</v>
      </c>
      <c r="G49" t="s">
        <v>28</v>
      </c>
      <c r="H49" t="s">
        <v>37</v>
      </c>
      <c r="K49">
        <v>6</v>
      </c>
      <c r="N49" t="s">
        <v>20</v>
      </c>
    </row>
    <row r="50" spans="1:14" hidden="1" x14ac:dyDescent="0.45">
      <c r="A50">
        <v>49</v>
      </c>
      <c r="B50" t="s">
        <v>15</v>
      </c>
      <c r="C50" t="s">
        <v>45</v>
      </c>
      <c r="D50">
        <v>39</v>
      </c>
      <c r="E50" t="s">
        <v>17</v>
      </c>
      <c r="F50">
        <v>160</v>
      </c>
      <c r="G50" t="s">
        <v>18</v>
      </c>
      <c r="H50" t="s">
        <v>48</v>
      </c>
      <c r="K50">
        <v>1</v>
      </c>
      <c r="L50">
        <v>6</v>
      </c>
      <c r="M50" t="s">
        <v>19</v>
      </c>
      <c r="N50" t="s">
        <v>23</v>
      </c>
    </row>
    <row r="51" spans="1:14" hidden="1" x14ac:dyDescent="0.45">
      <c r="A51">
        <v>50</v>
      </c>
      <c r="B51" t="s">
        <v>15</v>
      </c>
      <c r="C51" t="s">
        <v>45</v>
      </c>
      <c r="D51">
        <v>40</v>
      </c>
      <c r="E51" t="s">
        <v>17</v>
      </c>
      <c r="F51">
        <v>190</v>
      </c>
      <c r="G51" t="s">
        <v>18</v>
      </c>
      <c r="H51" t="s">
        <v>48</v>
      </c>
      <c r="K51">
        <v>1</v>
      </c>
      <c r="L51">
        <v>5</v>
      </c>
      <c r="M51" t="s">
        <v>21</v>
      </c>
      <c r="N51" t="s">
        <v>23</v>
      </c>
    </row>
    <row r="52" spans="1:14" hidden="1" x14ac:dyDescent="0.45">
      <c r="A52">
        <v>51</v>
      </c>
      <c r="B52" t="s">
        <v>15</v>
      </c>
      <c r="C52" t="s">
        <v>45</v>
      </c>
      <c r="D52">
        <v>41</v>
      </c>
      <c r="E52" t="s">
        <v>17</v>
      </c>
      <c r="F52">
        <v>110</v>
      </c>
      <c r="G52" t="s">
        <v>18</v>
      </c>
      <c r="H52" t="s">
        <v>48</v>
      </c>
      <c r="K52">
        <v>2</v>
      </c>
      <c r="L52">
        <v>3</v>
      </c>
      <c r="M52" t="s">
        <v>21</v>
      </c>
      <c r="N52" t="s">
        <v>20</v>
      </c>
    </row>
    <row r="53" spans="1:14" hidden="1" x14ac:dyDescent="0.45">
      <c r="A53">
        <v>52</v>
      </c>
      <c r="B53" t="s">
        <v>15</v>
      </c>
      <c r="C53" t="s">
        <v>45</v>
      </c>
      <c r="D53">
        <v>42</v>
      </c>
      <c r="E53" t="s">
        <v>17</v>
      </c>
      <c r="F53">
        <v>130</v>
      </c>
      <c r="G53" t="s">
        <v>18</v>
      </c>
      <c r="H53" t="s">
        <v>48</v>
      </c>
      <c r="K53">
        <v>2</v>
      </c>
      <c r="L53">
        <v>2</v>
      </c>
      <c r="M53" t="s">
        <v>19</v>
      </c>
      <c r="N53" t="s">
        <v>20</v>
      </c>
    </row>
    <row r="54" spans="1:14" hidden="1" x14ac:dyDescent="0.45">
      <c r="A54">
        <v>53</v>
      </c>
      <c r="B54" t="s">
        <v>15</v>
      </c>
      <c r="C54" t="s">
        <v>45</v>
      </c>
      <c r="D54">
        <v>43</v>
      </c>
      <c r="E54" t="s">
        <v>17</v>
      </c>
      <c r="F54">
        <v>110</v>
      </c>
      <c r="G54" t="s">
        <v>18</v>
      </c>
      <c r="H54" t="s">
        <v>48</v>
      </c>
      <c r="K54">
        <v>3</v>
      </c>
      <c r="N54" t="s">
        <v>22</v>
      </c>
    </row>
    <row r="55" spans="1:14" hidden="1" x14ac:dyDescent="0.45">
      <c r="A55">
        <v>54</v>
      </c>
      <c r="B55" t="s">
        <v>15</v>
      </c>
      <c r="C55" t="s">
        <v>45</v>
      </c>
      <c r="D55">
        <v>44</v>
      </c>
      <c r="E55" t="s">
        <v>17</v>
      </c>
      <c r="F55">
        <v>140</v>
      </c>
      <c r="G55" t="s">
        <v>18</v>
      </c>
      <c r="H55" t="s">
        <v>48</v>
      </c>
      <c r="K55">
        <v>3</v>
      </c>
      <c r="L55">
        <v>4</v>
      </c>
      <c r="M55" t="s">
        <v>19</v>
      </c>
      <c r="N55" t="s">
        <v>22</v>
      </c>
    </row>
    <row r="56" spans="1:14" hidden="1" x14ac:dyDescent="0.45">
      <c r="A56">
        <v>55</v>
      </c>
      <c r="B56" t="s">
        <v>15</v>
      </c>
      <c r="C56" t="s">
        <v>45</v>
      </c>
      <c r="D56">
        <v>45</v>
      </c>
      <c r="E56" t="s">
        <v>17</v>
      </c>
      <c r="F56">
        <v>190</v>
      </c>
      <c r="G56" t="s">
        <v>18</v>
      </c>
      <c r="H56" t="s">
        <v>48</v>
      </c>
      <c r="K56">
        <v>1</v>
      </c>
      <c r="L56">
        <v>4</v>
      </c>
      <c r="M56" t="s">
        <v>19</v>
      </c>
      <c r="N56" t="s">
        <v>23</v>
      </c>
    </row>
    <row r="57" spans="1:14" hidden="1" x14ac:dyDescent="0.45">
      <c r="A57">
        <v>56</v>
      </c>
      <c r="B57" t="s">
        <v>15</v>
      </c>
      <c r="C57" t="s">
        <v>45</v>
      </c>
      <c r="D57">
        <v>46</v>
      </c>
      <c r="E57" t="s">
        <v>17</v>
      </c>
      <c r="F57">
        <v>200</v>
      </c>
      <c r="G57" t="s">
        <v>18</v>
      </c>
      <c r="H57" t="s">
        <v>48</v>
      </c>
      <c r="K57">
        <v>2</v>
      </c>
      <c r="L57">
        <v>4</v>
      </c>
      <c r="M57" t="s">
        <v>19</v>
      </c>
      <c r="N57" t="s">
        <v>20</v>
      </c>
    </row>
    <row r="58" spans="1:14" hidden="1" x14ac:dyDescent="0.45">
      <c r="A58">
        <v>57</v>
      </c>
      <c r="B58" t="s">
        <v>15</v>
      </c>
      <c r="C58" t="s">
        <v>45</v>
      </c>
      <c r="D58">
        <v>47</v>
      </c>
      <c r="E58" t="s">
        <v>17</v>
      </c>
      <c r="F58">
        <v>120</v>
      </c>
      <c r="G58" t="s">
        <v>18</v>
      </c>
      <c r="H58" t="s">
        <v>48</v>
      </c>
      <c r="K58">
        <v>3</v>
      </c>
      <c r="L58">
        <v>2</v>
      </c>
      <c r="M58" t="s">
        <v>19</v>
      </c>
      <c r="N58" t="s">
        <v>22</v>
      </c>
    </row>
    <row r="59" spans="1:14" hidden="1" x14ac:dyDescent="0.45">
      <c r="A59">
        <v>58</v>
      </c>
      <c r="B59" t="s">
        <v>15</v>
      </c>
      <c r="C59" t="s">
        <v>45</v>
      </c>
      <c r="D59">
        <v>48</v>
      </c>
      <c r="E59" t="s">
        <v>17</v>
      </c>
      <c r="F59">
        <v>190</v>
      </c>
      <c r="G59" t="s">
        <v>18</v>
      </c>
      <c r="H59" t="s">
        <v>48</v>
      </c>
      <c r="K59">
        <v>1</v>
      </c>
      <c r="L59">
        <v>7</v>
      </c>
      <c r="M59" t="s">
        <v>21</v>
      </c>
      <c r="N59" t="s">
        <v>23</v>
      </c>
    </row>
    <row r="60" spans="1:14" x14ac:dyDescent="0.45">
      <c r="A60">
        <v>4</v>
      </c>
      <c r="B60" t="s">
        <v>49</v>
      </c>
      <c r="C60" t="s">
        <v>50</v>
      </c>
      <c r="D60">
        <v>1</v>
      </c>
      <c r="E60" t="s">
        <v>27</v>
      </c>
      <c r="F60">
        <v>43</v>
      </c>
      <c r="G60" t="s">
        <v>51</v>
      </c>
      <c r="I60">
        <v>1</v>
      </c>
      <c r="J60">
        <v>5</v>
      </c>
      <c r="K60">
        <v>1</v>
      </c>
      <c r="L60">
        <v>7</v>
      </c>
      <c r="M60" t="s">
        <v>21</v>
      </c>
      <c r="N60" t="s">
        <v>23</v>
      </c>
    </row>
    <row r="61" spans="1:14" x14ac:dyDescent="0.45">
      <c r="B61" t="s">
        <v>49</v>
      </c>
      <c r="C61" t="s">
        <v>50</v>
      </c>
      <c r="D61">
        <v>1</v>
      </c>
      <c r="E61" t="s">
        <v>25</v>
      </c>
      <c r="F61">
        <v>60</v>
      </c>
      <c r="G61" t="s">
        <v>51</v>
      </c>
      <c r="I61">
        <v>1</v>
      </c>
      <c r="J61">
        <v>5</v>
      </c>
    </row>
    <row r="62" spans="1:14" x14ac:dyDescent="0.45">
      <c r="B62" t="s">
        <v>49</v>
      </c>
      <c r="D62">
        <v>1</v>
      </c>
      <c r="E62" t="s">
        <v>52</v>
      </c>
      <c r="F62">
        <v>25</v>
      </c>
      <c r="I62">
        <v>9</v>
      </c>
    </row>
    <row r="63" spans="1:14" x14ac:dyDescent="0.45">
      <c r="A63">
        <v>16</v>
      </c>
      <c r="B63" t="s">
        <v>49</v>
      </c>
      <c r="C63" t="s">
        <v>50</v>
      </c>
      <c r="D63">
        <v>2</v>
      </c>
      <c r="E63" t="s">
        <v>27</v>
      </c>
      <c r="F63">
        <v>30</v>
      </c>
      <c r="G63" t="s">
        <v>51</v>
      </c>
      <c r="I63">
        <v>1</v>
      </c>
      <c r="J63">
        <v>5</v>
      </c>
      <c r="K63">
        <v>2</v>
      </c>
      <c r="L63">
        <v>3</v>
      </c>
      <c r="M63" t="s">
        <v>21</v>
      </c>
      <c r="N63" t="s">
        <v>20</v>
      </c>
    </row>
    <row r="64" spans="1:14" x14ac:dyDescent="0.45">
      <c r="B64" t="s">
        <v>49</v>
      </c>
      <c r="C64" t="s">
        <v>50</v>
      </c>
      <c r="D64">
        <v>2</v>
      </c>
      <c r="E64" t="s">
        <v>25</v>
      </c>
      <c r="F64">
        <v>50</v>
      </c>
      <c r="G64" t="s">
        <v>51</v>
      </c>
      <c r="I64">
        <v>1</v>
      </c>
      <c r="J64">
        <v>5</v>
      </c>
    </row>
    <row r="65" spans="1:14" x14ac:dyDescent="0.45">
      <c r="B65" t="s">
        <v>49</v>
      </c>
      <c r="D65">
        <v>2</v>
      </c>
      <c r="E65" t="s">
        <v>52</v>
      </c>
      <c r="F65">
        <v>13</v>
      </c>
    </row>
    <row r="66" spans="1:14" x14ac:dyDescent="0.45">
      <c r="A66">
        <v>20</v>
      </c>
      <c r="B66" t="s">
        <v>49</v>
      </c>
      <c r="C66" t="s">
        <v>50</v>
      </c>
      <c r="D66">
        <v>3</v>
      </c>
      <c r="E66" t="s">
        <v>27</v>
      </c>
      <c r="F66">
        <v>38</v>
      </c>
      <c r="G66" t="s">
        <v>51</v>
      </c>
      <c r="H66" t="s">
        <v>53</v>
      </c>
      <c r="I66">
        <v>2</v>
      </c>
      <c r="J66">
        <v>5</v>
      </c>
      <c r="K66">
        <v>2</v>
      </c>
      <c r="L66">
        <v>2</v>
      </c>
      <c r="M66" t="s">
        <v>19</v>
      </c>
      <c r="N66" t="s">
        <v>20</v>
      </c>
    </row>
    <row r="67" spans="1:14" x14ac:dyDescent="0.45">
      <c r="B67" t="s">
        <v>49</v>
      </c>
      <c r="C67" t="s">
        <v>50</v>
      </c>
      <c r="D67">
        <v>3</v>
      </c>
      <c r="E67" t="s">
        <v>25</v>
      </c>
      <c r="F67">
        <v>21</v>
      </c>
      <c r="G67" t="s">
        <v>51</v>
      </c>
      <c r="I67">
        <v>2</v>
      </c>
      <c r="J67">
        <v>5</v>
      </c>
    </row>
    <row r="68" spans="1:14" x14ac:dyDescent="0.45">
      <c r="B68" t="s">
        <v>49</v>
      </c>
      <c r="D68">
        <v>3</v>
      </c>
      <c r="E68" t="s">
        <v>52</v>
      </c>
      <c r="F68">
        <v>18</v>
      </c>
      <c r="I68">
        <v>13</v>
      </c>
    </row>
    <row r="69" spans="1:14" x14ac:dyDescent="0.45">
      <c r="A69">
        <v>6</v>
      </c>
      <c r="B69" t="s">
        <v>49</v>
      </c>
      <c r="C69" t="s">
        <v>50</v>
      </c>
      <c r="D69">
        <v>4</v>
      </c>
      <c r="E69" t="s">
        <v>27</v>
      </c>
      <c r="F69">
        <v>47</v>
      </c>
      <c r="G69" t="s">
        <v>51</v>
      </c>
      <c r="I69">
        <v>3</v>
      </c>
      <c r="J69">
        <v>5</v>
      </c>
      <c r="K69">
        <v>1</v>
      </c>
      <c r="L69">
        <v>3</v>
      </c>
      <c r="M69" t="s">
        <v>21</v>
      </c>
      <c r="N69" t="s">
        <v>23</v>
      </c>
    </row>
    <row r="70" spans="1:14" x14ac:dyDescent="0.45">
      <c r="B70" t="s">
        <v>49</v>
      </c>
      <c r="C70" t="s">
        <v>50</v>
      </c>
      <c r="D70">
        <v>4</v>
      </c>
      <c r="E70" t="s">
        <v>25</v>
      </c>
      <c r="F70">
        <v>42</v>
      </c>
      <c r="G70" t="s">
        <v>51</v>
      </c>
      <c r="I70">
        <v>3</v>
      </c>
      <c r="J70">
        <v>5</v>
      </c>
    </row>
    <row r="71" spans="1:14" x14ac:dyDescent="0.45">
      <c r="B71" t="s">
        <v>49</v>
      </c>
      <c r="D71">
        <v>4</v>
      </c>
      <c r="E71" t="s">
        <v>52</v>
      </c>
      <c r="F71">
        <v>21</v>
      </c>
      <c r="I71">
        <v>4</v>
      </c>
    </row>
    <row r="72" spans="1:14" x14ac:dyDescent="0.45">
      <c r="A72">
        <v>11</v>
      </c>
      <c r="B72" t="s">
        <v>49</v>
      </c>
      <c r="C72" t="s">
        <v>50</v>
      </c>
      <c r="D72">
        <v>5</v>
      </c>
      <c r="E72" t="s">
        <v>27</v>
      </c>
      <c r="F72">
        <v>62</v>
      </c>
      <c r="G72" t="s">
        <v>51</v>
      </c>
      <c r="I72">
        <v>7</v>
      </c>
      <c r="J72">
        <v>5</v>
      </c>
      <c r="K72">
        <v>2</v>
      </c>
      <c r="L72">
        <v>4</v>
      </c>
      <c r="M72" t="s">
        <v>19</v>
      </c>
      <c r="N72" t="s">
        <v>20</v>
      </c>
    </row>
    <row r="73" spans="1:14" x14ac:dyDescent="0.45">
      <c r="B73" t="s">
        <v>49</v>
      </c>
      <c r="C73" t="s">
        <v>50</v>
      </c>
      <c r="D73">
        <v>5</v>
      </c>
      <c r="E73" t="s">
        <v>25</v>
      </c>
      <c r="F73">
        <v>30</v>
      </c>
      <c r="G73" t="s">
        <v>51</v>
      </c>
      <c r="I73">
        <v>7</v>
      </c>
      <c r="J73">
        <v>5</v>
      </c>
    </row>
    <row r="74" spans="1:14" x14ac:dyDescent="0.45">
      <c r="B74" t="s">
        <v>49</v>
      </c>
      <c r="D74">
        <v>5</v>
      </c>
      <c r="E74" t="s">
        <v>52</v>
      </c>
      <c r="F74">
        <v>32</v>
      </c>
      <c r="I74">
        <v>28</v>
      </c>
    </row>
    <row r="75" spans="1:14" x14ac:dyDescent="0.45">
      <c r="A75">
        <v>24</v>
      </c>
      <c r="B75" t="s">
        <v>49</v>
      </c>
      <c r="C75" t="s">
        <v>50</v>
      </c>
      <c r="D75">
        <v>6</v>
      </c>
      <c r="E75" t="s">
        <v>27</v>
      </c>
      <c r="F75">
        <v>30</v>
      </c>
      <c r="G75" t="s">
        <v>51</v>
      </c>
      <c r="I75">
        <v>3</v>
      </c>
      <c r="J75">
        <v>5</v>
      </c>
      <c r="K75">
        <v>3</v>
      </c>
      <c r="L75">
        <v>6</v>
      </c>
      <c r="M75" t="s">
        <v>19</v>
      </c>
      <c r="N75" t="s">
        <v>22</v>
      </c>
    </row>
    <row r="76" spans="1:14" x14ac:dyDescent="0.45">
      <c r="B76" t="s">
        <v>49</v>
      </c>
      <c r="C76" t="s">
        <v>50</v>
      </c>
      <c r="D76">
        <v>6</v>
      </c>
      <c r="E76" t="s">
        <v>25</v>
      </c>
      <c r="F76">
        <v>1</v>
      </c>
      <c r="G76" t="s">
        <v>51</v>
      </c>
      <c r="I76">
        <v>3</v>
      </c>
      <c r="J76">
        <v>5</v>
      </c>
    </row>
    <row r="77" spans="1:14" x14ac:dyDescent="0.45">
      <c r="B77" t="s">
        <v>49</v>
      </c>
      <c r="D77">
        <v>6</v>
      </c>
      <c r="E77" t="s">
        <v>52</v>
      </c>
      <c r="F77">
        <v>40</v>
      </c>
      <c r="I77">
        <v>14</v>
      </c>
    </row>
    <row r="78" spans="1:14" x14ac:dyDescent="0.45">
      <c r="A78">
        <v>22</v>
      </c>
      <c r="B78" t="s">
        <v>49</v>
      </c>
      <c r="C78" t="s">
        <v>50</v>
      </c>
      <c r="D78">
        <v>7</v>
      </c>
      <c r="E78" t="s">
        <v>27</v>
      </c>
      <c r="F78">
        <v>24</v>
      </c>
      <c r="G78" t="s">
        <v>51</v>
      </c>
      <c r="I78">
        <v>3</v>
      </c>
      <c r="J78">
        <v>5</v>
      </c>
      <c r="K78">
        <v>3</v>
      </c>
      <c r="L78">
        <v>3</v>
      </c>
      <c r="M78" t="s">
        <v>21</v>
      </c>
      <c r="N78" t="s">
        <v>22</v>
      </c>
    </row>
    <row r="79" spans="1:14" x14ac:dyDescent="0.45">
      <c r="B79" t="s">
        <v>49</v>
      </c>
      <c r="C79" t="s">
        <v>50</v>
      </c>
      <c r="D79">
        <v>7</v>
      </c>
      <c r="E79" t="s">
        <v>25</v>
      </c>
      <c r="F79">
        <v>13</v>
      </c>
      <c r="G79" t="s">
        <v>51</v>
      </c>
      <c r="I79">
        <v>3</v>
      </c>
      <c r="J79">
        <v>5</v>
      </c>
    </row>
    <row r="80" spans="1:14" x14ac:dyDescent="0.45">
      <c r="B80" t="s">
        <v>49</v>
      </c>
      <c r="D80">
        <v>7</v>
      </c>
      <c r="E80" t="s">
        <v>52</v>
      </c>
      <c r="F80">
        <v>15</v>
      </c>
      <c r="I80">
        <v>6</v>
      </c>
    </row>
    <row r="81" spans="1:14" x14ac:dyDescent="0.45">
      <c r="A81">
        <v>12</v>
      </c>
      <c r="B81" t="s">
        <v>49</v>
      </c>
      <c r="C81" t="s">
        <v>50</v>
      </c>
      <c r="D81">
        <v>8</v>
      </c>
      <c r="E81" t="s">
        <v>27</v>
      </c>
      <c r="F81">
        <v>40</v>
      </c>
      <c r="G81" t="s">
        <v>51</v>
      </c>
      <c r="I81">
        <v>4</v>
      </c>
      <c r="J81">
        <v>5</v>
      </c>
      <c r="K81">
        <v>1</v>
      </c>
      <c r="L81">
        <v>6</v>
      </c>
      <c r="M81" t="s">
        <v>19</v>
      </c>
      <c r="N81" t="s">
        <v>23</v>
      </c>
    </row>
    <row r="82" spans="1:14" x14ac:dyDescent="0.45">
      <c r="B82" t="s">
        <v>49</v>
      </c>
      <c r="C82" t="s">
        <v>50</v>
      </c>
      <c r="D82">
        <v>8</v>
      </c>
      <c r="E82" t="s">
        <v>25</v>
      </c>
      <c r="F82">
        <v>35</v>
      </c>
      <c r="G82" t="s">
        <v>51</v>
      </c>
      <c r="I82">
        <v>4</v>
      </c>
      <c r="J82">
        <v>5</v>
      </c>
    </row>
    <row r="83" spans="1:14" x14ac:dyDescent="0.45">
      <c r="B83" t="s">
        <v>49</v>
      </c>
      <c r="D83">
        <v>8</v>
      </c>
      <c r="E83" t="s">
        <v>52</v>
      </c>
      <c r="F83">
        <v>9</v>
      </c>
      <c r="I83">
        <v>8</v>
      </c>
    </row>
    <row r="84" spans="1:14" x14ac:dyDescent="0.45">
      <c r="A84">
        <v>23</v>
      </c>
      <c r="B84" t="s">
        <v>49</v>
      </c>
      <c r="C84" t="s">
        <v>50</v>
      </c>
      <c r="D84">
        <v>9</v>
      </c>
      <c r="E84" t="s">
        <v>27</v>
      </c>
      <c r="F84">
        <v>23</v>
      </c>
      <c r="G84" t="s">
        <v>51</v>
      </c>
      <c r="I84">
        <v>3</v>
      </c>
      <c r="J84">
        <v>5</v>
      </c>
      <c r="K84">
        <v>3</v>
      </c>
      <c r="L84">
        <v>2</v>
      </c>
      <c r="M84" t="s">
        <v>19</v>
      </c>
      <c r="N84" t="s">
        <v>22</v>
      </c>
    </row>
    <row r="85" spans="1:14" x14ac:dyDescent="0.45">
      <c r="B85" t="s">
        <v>49</v>
      </c>
      <c r="C85" t="s">
        <v>50</v>
      </c>
      <c r="D85">
        <v>9</v>
      </c>
      <c r="E85" t="s">
        <v>25</v>
      </c>
      <c r="F85">
        <v>3</v>
      </c>
      <c r="G85" t="s">
        <v>51</v>
      </c>
      <c r="I85">
        <v>3</v>
      </c>
      <c r="J85">
        <v>5</v>
      </c>
    </row>
    <row r="86" spans="1:14" x14ac:dyDescent="0.45">
      <c r="A86">
        <v>21</v>
      </c>
      <c r="B86" t="s">
        <v>49</v>
      </c>
      <c r="C86" t="s">
        <v>50</v>
      </c>
      <c r="D86">
        <v>10</v>
      </c>
      <c r="E86" t="s">
        <v>27</v>
      </c>
      <c r="F86">
        <v>30</v>
      </c>
      <c r="G86" t="s">
        <v>51</v>
      </c>
      <c r="I86">
        <v>4</v>
      </c>
      <c r="J86">
        <v>7</v>
      </c>
      <c r="K86">
        <v>2</v>
      </c>
      <c r="L86">
        <v>7</v>
      </c>
      <c r="M86" t="s">
        <v>21</v>
      </c>
      <c r="N86" t="s">
        <v>20</v>
      </c>
    </row>
    <row r="87" spans="1:14" x14ac:dyDescent="0.45">
      <c r="B87" t="s">
        <v>49</v>
      </c>
      <c r="C87" t="s">
        <v>50</v>
      </c>
      <c r="D87">
        <v>10</v>
      </c>
      <c r="E87" t="s">
        <v>25</v>
      </c>
      <c r="F87">
        <v>18</v>
      </c>
      <c r="G87" t="s">
        <v>51</v>
      </c>
      <c r="I87">
        <v>4</v>
      </c>
      <c r="J87">
        <v>7</v>
      </c>
    </row>
    <row r="88" spans="1:14" x14ac:dyDescent="0.45">
      <c r="A88">
        <v>8</v>
      </c>
      <c r="B88" t="s">
        <v>49</v>
      </c>
      <c r="C88" t="s">
        <v>50</v>
      </c>
      <c r="D88">
        <v>11</v>
      </c>
      <c r="E88" t="s">
        <v>27</v>
      </c>
      <c r="F88">
        <v>62</v>
      </c>
      <c r="G88" t="s">
        <v>51</v>
      </c>
      <c r="I88">
        <v>4</v>
      </c>
      <c r="J88">
        <v>7</v>
      </c>
      <c r="K88">
        <v>1</v>
      </c>
      <c r="L88">
        <v>4</v>
      </c>
      <c r="M88" t="s">
        <v>19</v>
      </c>
      <c r="N88" t="s">
        <v>23</v>
      </c>
    </row>
    <row r="89" spans="1:14" x14ac:dyDescent="0.45">
      <c r="B89" t="s">
        <v>49</v>
      </c>
      <c r="C89" t="s">
        <v>50</v>
      </c>
      <c r="D89">
        <v>11</v>
      </c>
      <c r="E89" t="s">
        <v>25</v>
      </c>
      <c r="F89">
        <v>30</v>
      </c>
      <c r="G89" t="s">
        <v>51</v>
      </c>
      <c r="I89">
        <v>4</v>
      </c>
      <c r="J89">
        <v>7</v>
      </c>
    </row>
    <row r="90" spans="1:14" x14ac:dyDescent="0.45">
      <c r="A90">
        <v>18</v>
      </c>
      <c r="B90" t="s">
        <v>49</v>
      </c>
      <c r="C90" t="s">
        <v>50</v>
      </c>
      <c r="D90">
        <v>12</v>
      </c>
      <c r="E90" t="s">
        <v>27</v>
      </c>
      <c r="F90">
        <v>39</v>
      </c>
      <c r="G90" t="s">
        <v>51</v>
      </c>
      <c r="I90">
        <v>7</v>
      </c>
      <c r="J90">
        <v>7</v>
      </c>
      <c r="K90">
        <v>2</v>
      </c>
      <c r="L90">
        <v>6</v>
      </c>
      <c r="M90" t="s">
        <v>19</v>
      </c>
      <c r="N90" t="s">
        <v>20</v>
      </c>
    </row>
    <row r="91" spans="1:14" x14ac:dyDescent="0.45">
      <c r="B91" t="s">
        <v>49</v>
      </c>
      <c r="C91" t="s">
        <v>50</v>
      </c>
      <c r="D91">
        <v>12</v>
      </c>
      <c r="E91" t="s">
        <v>25</v>
      </c>
      <c r="F91">
        <v>27</v>
      </c>
      <c r="G91" t="s">
        <v>51</v>
      </c>
      <c r="I91">
        <v>7</v>
      </c>
      <c r="J91">
        <v>7</v>
      </c>
    </row>
    <row r="92" spans="1:14" x14ac:dyDescent="0.45">
      <c r="A92">
        <v>14</v>
      </c>
      <c r="B92" t="s">
        <v>49</v>
      </c>
      <c r="C92" t="s">
        <v>50</v>
      </c>
      <c r="D92">
        <v>13</v>
      </c>
      <c r="E92" t="s">
        <v>27</v>
      </c>
      <c r="F92">
        <v>55</v>
      </c>
      <c r="G92" t="s">
        <v>51</v>
      </c>
      <c r="I92">
        <v>7</v>
      </c>
      <c r="J92">
        <v>7</v>
      </c>
      <c r="K92">
        <v>3</v>
      </c>
      <c r="L92">
        <v>7</v>
      </c>
      <c r="M92" t="s">
        <v>21</v>
      </c>
      <c r="N92" t="s">
        <v>22</v>
      </c>
    </row>
    <row r="93" spans="1:14" x14ac:dyDescent="0.45">
      <c r="B93" t="s">
        <v>49</v>
      </c>
      <c r="C93" t="s">
        <v>50</v>
      </c>
      <c r="D93">
        <v>13</v>
      </c>
      <c r="E93" t="s">
        <v>25</v>
      </c>
      <c r="F93">
        <v>30</v>
      </c>
      <c r="G93" t="s">
        <v>51</v>
      </c>
      <c r="I93">
        <v>7</v>
      </c>
      <c r="J93">
        <v>7</v>
      </c>
    </row>
    <row r="94" spans="1:14" x14ac:dyDescent="0.45">
      <c r="A94">
        <v>1</v>
      </c>
      <c r="B94" t="s">
        <v>49</v>
      </c>
      <c r="C94" t="s">
        <v>50</v>
      </c>
      <c r="D94">
        <v>14</v>
      </c>
      <c r="E94" t="s">
        <v>27</v>
      </c>
      <c r="F94">
        <v>60</v>
      </c>
      <c r="G94" t="s">
        <v>51</v>
      </c>
      <c r="I94">
        <v>3</v>
      </c>
      <c r="J94">
        <v>7</v>
      </c>
      <c r="K94">
        <v>2</v>
      </c>
      <c r="L94">
        <v>5</v>
      </c>
      <c r="M94" t="s">
        <v>21</v>
      </c>
      <c r="N94" t="s">
        <v>20</v>
      </c>
    </row>
    <row r="95" spans="1:14" x14ac:dyDescent="0.45">
      <c r="B95" t="s">
        <v>49</v>
      </c>
      <c r="C95" t="s">
        <v>50</v>
      </c>
      <c r="D95">
        <v>14</v>
      </c>
      <c r="E95" t="s">
        <v>25</v>
      </c>
      <c r="F95">
        <v>70</v>
      </c>
      <c r="G95" t="s">
        <v>51</v>
      </c>
      <c r="I95">
        <v>3</v>
      </c>
      <c r="J95">
        <v>7</v>
      </c>
    </row>
    <row r="96" spans="1:14" x14ac:dyDescent="0.45">
      <c r="A96">
        <v>3</v>
      </c>
      <c r="B96" t="s">
        <v>49</v>
      </c>
      <c r="C96" t="s">
        <v>50</v>
      </c>
      <c r="D96">
        <v>15</v>
      </c>
      <c r="E96" t="s">
        <v>27</v>
      </c>
      <c r="F96">
        <v>44</v>
      </c>
      <c r="G96" t="s">
        <v>51</v>
      </c>
      <c r="I96">
        <v>2</v>
      </c>
      <c r="J96">
        <v>7</v>
      </c>
      <c r="K96">
        <v>3</v>
      </c>
      <c r="L96">
        <v>3</v>
      </c>
      <c r="M96" t="s">
        <v>21</v>
      </c>
      <c r="N96" t="s">
        <v>22</v>
      </c>
    </row>
    <row r="97" spans="1:14" x14ac:dyDescent="0.45">
      <c r="B97" t="s">
        <v>49</v>
      </c>
      <c r="C97" t="s">
        <v>50</v>
      </c>
      <c r="D97">
        <v>15</v>
      </c>
      <c r="E97" t="s">
        <v>25</v>
      </c>
      <c r="F97">
        <v>43</v>
      </c>
      <c r="G97" t="s">
        <v>51</v>
      </c>
      <c r="I97">
        <v>2</v>
      </c>
      <c r="J97">
        <v>7</v>
      </c>
    </row>
    <row r="98" spans="1:14" x14ac:dyDescent="0.45">
      <c r="A98">
        <v>5</v>
      </c>
      <c r="B98" t="s">
        <v>49</v>
      </c>
      <c r="C98" t="s">
        <v>50</v>
      </c>
      <c r="D98">
        <v>16</v>
      </c>
      <c r="E98" t="s">
        <v>27</v>
      </c>
      <c r="F98">
        <v>65</v>
      </c>
      <c r="G98" t="s">
        <v>51</v>
      </c>
      <c r="I98">
        <v>7</v>
      </c>
      <c r="J98">
        <v>7</v>
      </c>
      <c r="K98">
        <v>3</v>
      </c>
      <c r="L98">
        <v>5</v>
      </c>
      <c r="M98" t="s">
        <v>21</v>
      </c>
      <c r="N98" t="s">
        <v>22</v>
      </c>
    </row>
    <row r="99" spans="1:14" x14ac:dyDescent="0.45">
      <c r="B99" t="s">
        <v>49</v>
      </c>
      <c r="C99" t="s">
        <v>50</v>
      </c>
      <c r="D99">
        <v>16</v>
      </c>
      <c r="E99" t="s">
        <v>25</v>
      </c>
      <c r="F99">
        <v>30</v>
      </c>
      <c r="G99" t="s">
        <v>51</v>
      </c>
      <c r="I99">
        <v>7</v>
      </c>
      <c r="J99">
        <v>7</v>
      </c>
    </row>
    <row r="100" spans="1:14" x14ac:dyDescent="0.45">
      <c r="A100">
        <v>19</v>
      </c>
      <c r="B100" t="s">
        <v>49</v>
      </c>
      <c r="C100" t="s">
        <v>50</v>
      </c>
      <c r="D100">
        <v>17</v>
      </c>
      <c r="E100" t="s">
        <v>27</v>
      </c>
      <c r="F100">
        <v>30</v>
      </c>
      <c r="G100" t="s">
        <v>51</v>
      </c>
      <c r="I100">
        <v>4</v>
      </c>
      <c r="J100">
        <v>7</v>
      </c>
      <c r="K100">
        <v>1</v>
      </c>
      <c r="L100">
        <v>2</v>
      </c>
      <c r="M100" t="s">
        <v>19</v>
      </c>
      <c r="N100" t="s">
        <v>23</v>
      </c>
    </row>
    <row r="101" spans="1:14" x14ac:dyDescent="0.45">
      <c r="B101" t="s">
        <v>49</v>
      </c>
      <c r="C101" t="s">
        <v>50</v>
      </c>
      <c r="D101">
        <v>17</v>
      </c>
      <c r="E101" t="s">
        <v>25</v>
      </c>
      <c r="F101">
        <v>23</v>
      </c>
      <c r="G101" t="s">
        <v>51</v>
      </c>
      <c r="I101">
        <v>4</v>
      </c>
      <c r="J101">
        <v>7</v>
      </c>
    </row>
    <row r="102" spans="1:14" x14ac:dyDescent="0.45">
      <c r="A102">
        <v>13</v>
      </c>
      <c r="B102" t="s">
        <v>49</v>
      </c>
      <c r="C102" t="s">
        <v>50</v>
      </c>
      <c r="D102">
        <v>18</v>
      </c>
      <c r="E102" t="s">
        <v>27</v>
      </c>
      <c r="F102">
        <v>49</v>
      </c>
      <c r="G102" t="s">
        <v>51</v>
      </c>
      <c r="I102">
        <v>2</v>
      </c>
      <c r="J102">
        <v>6</v>
      </c>
      <c r="K102">
        <v>3</v>
      </c>
      <c r="L102">
        <v>3</v>
      </c>
      <c r="M102" t="s">
        <v>21</v>
      </c>
      <c r="N102" t="s">
        <v>22</v>
      </c>
    </row>
    <row r="103" spans="1:14" x14ac:dyDescent="0.45">
      <c r="B103" t="s">
        <v>49</v>
      </c>
      <c r="C103" t="s">
        <v>50</v>
      </c>
      <c r="D103">
        <v>18</v>
      </c>
      <c r="E103" t="s">
        <v>25</v>
      </c>
      <c r="F103">
        <v>50</v>
      </c>
      <c r="G103" t="s">
        <v>51</v>
      </c>
      <c r="I103">
        <v>2</v>
      </c>
      <c r="J103">
        <v>6</v>
      </c>
    </row>
    <row r="104" spans="1:14" x14ac:dyDescent="0.45">
      <c r="A104">
        <v>15</v>
      </c>
      <c r="B104" t="s">
        <v>49</v>
      </c>
      <c r="C104" t="s">
        <v>50</v>
      </c>
      <c r="D104">
        <v>19</v>
      </c>
      <c r="E104" t="s">
        <v>27</v>
      </c>
      <c r="F104">
        <v>38</v>
      </c>
      <c r="G104" t="s">
        <v>51</v>
      </c>
      <c r="I104">
        <v>4</v>
      </c>
      <c r="J104">
        <v>6</v>
      </c>
      <c r="K104">
        <v>2</v>
      </c>
      <c r="L104">
        <v>2</v>
      </c>
      <c r="M104" t="s">
        <v>19</v>
      </c>
      <c r="N104" t="s">
        <v>20</v>
      </c>
    </row>
    <row r="105" spans="1:14" x14ac:dyDescent="0.45">
      <c r="B105" t="s">
        <v>49</v>
      </c>
      <c r="C105" t="s">
        <v>50</v>
      </c>
      <c r="D105">
        <v>19</v>
      </c>
      <c r="E105" t="s">
        <v>25</v>
      </c>
      <c r="F105">
        <v>33</v>
      </c>
      <c r="G105" t="s">
        <v>51</v>
      </c>
      <c r="I105">
        <v>4</v>
      </c>
      <c r="J105">
        <v>6</v>
      </c>
    </row>
    <row r="106" spans="1:14" x14ac:dyDescent="0.45">
      <c r="A106">
        <v>2</v>
      </c>
      <c r="B106" t="s">
        <v>49</v>
      </c>
      <c r="C106" t="s">
        <v>50</v>
      </c>
      <c r="D106">
        <v>20</v>
      </c>
      <c r="E106" t="s">
        <v>27</v>
      </c>
      <c r="F106">
        <v>51</v>
      </c>
      <c r="G106" t="s">
        <v>51</v>
      </c>
      <c r="I106">
        <v>6</v>
      </c>
      <c r="J106">
        <v>5</v>
      </c>
      <c r="K106">
        <v>1</v>
      </c>
      <c r="L106">
        <v>5</v>
      </c>
      <c r="M106" t="s">
        <v>21</v>
      </c>
      <c r="N106" t="s">
        <v>23</v>
      </c>
    </row>
    <row r="107" spans="1:14" x14ac:dyDescent="0.45">
      <c r="B107" t="s">
        <v>49</v>
      </c>
      <c r="C107" t="s">
        <v>50</v>
      </c>
      <c r="D107">
        <v>20</v>
      </c>
      <c r="E107" t="s">
        <v>25</v>
      </c>
      <c r="F107">
        <v>30</v>
      </c>
      <c r="G107" t="s">
        <v>51</v>
      </c>
      <c r="I107">
        <v>6</v>
      </c>
      <c r="J107">
        <v>5</v>
      </c>
    </row>
    <row r="108" spans="1:14" x14ac:dyDescent="0.45">
      <c r="A108">
        <v>10</v>
      </c>
      <c r="B108" t="s">
        <v>49</v>
      </c>
      <c r="C108" t="s">
        <v>50</v>
      </c>
      <c r="D108">
        <v>21</v>
      </c>
      <c r="E108" t="s">
        <v>27</v>
      </c>
      <c r="F108">
        <v>36</v>
      </c>
      <c r="G108" t="s">
        <v>51</v>
      </c>
      <c r="H108" t="s">
        <v>53</v>
      </c>
      <c r="I108">
        <v>7</v>
      </c>
      <c r="J108">
        <v>6</v>
      </c>
      <c r="K108">
        <v>2</v>
      </c>
      <c r="L108">
        <v>3</v>
      </c>
      <c r="M108" t="s">
        <v>21</v>
      </c>
      <c r="N108" t="s">
        <v>20</v>
      </c>
    </row>
    <row r="109" spans="1:14" x14ac:dyDescent="0.45">
      <c r="B109" t="s">
        <v>49</v>
      </c>
      <c r="C109" t="s">
        <v>50</v>
      </c>
      <c r="D109">
        <v>21</v>
      </c>
      <c r="E109" t="s">
        <v>25</v>
      </c>
      <c r="F109">
        <v>55</v>
      </c>
      <c r="G109" t="s">
        <v>51</v>
      </c>
      <c r="I109">
        <v>7</v>
      </c>
      <c r="J109">
        <v>6</v>
      </c>
    </row>
    <row r="110" spans="1:14" x14ac:dyDescent="0.45">
      <c r="A110">
        <v>7</v>
      </c>
      <c r="B110" t="s">
        <v>49</v>
      </c>
      <c r="C110" t="s">
        <v>50</v>
      </c>
      <c r="D110">
        <v>22</v>
      </c>
      <c r="E110" t="s">
        <v>27</v>
      </c>
      <c r="F110">
        <v>39</v>
      </c>
      <c r="G110" t="s">
        <v>51</v>
      </c>
      <c r="I110">
        <v>15</v>
      </c>
      <c r="J110">
        <v>6</v>
      </c>
      <c r="K110">
        <v>3</v>
      </c>
      <c r="L110">
        <v>4</v>
      </c>
      <c r="M110" t="s">
        <v>19</v>
      </c>
      <c r="N110" t="s">
        <v>22</v>
      </c>
    </row>
    <row r="111" spans="1:14" x14ac:dyDescent="0.45">
      <c r="B111" t="s">
        <v>49</v>
      </c>
      <c r="C111" t="s">
        <v>50</v>
      </c>
      <c r="D111">
        <v>22</v>
      </c>
      <c r="E111" t="s">
        <v>25</v>
      </c>
      <c r="F111">
        <v>58</v>
      </c>
      <c r="G111" t="s">
        <v>51</v>
      </c>
      <c r="I111">
        <v>15</v>
      </c>
      <c r="J111">
        <v>6</v>
      </c>
    </row>
    <row r="112" spans="1:14" x14ac:dyDescent="0.45">
      <c r="A112">
        <v>9</v>
      </c>
      <c r="B112" t="s">
        <v>49</v>
      </c>
      <c r="C112" t="s">
        <v>50</v>
      </c>
      <c r="D112">
        <v>23</v>
      </c>
      <c r="E112" t="s">
        <v>27</v>
      </c>
      <c r="F112">
        <v>39</v>
      </c>
      <c r="G112" t="s">
        <v>51</v>
      </c>
      <c r="I112">
        <v>3</v>
      </c>
      <c r="J112">
        <v>5</v>
      </c>
      <c r="K112">
        <v>3</v>
      </c>
      <c r="L112">
        <v>2</v>
      </c>
      <c r="M112" t="s">
        <v>19</v>
      </c>
      <c r="N112" t="s">
        <v>22</v>
      </c>
    </row>
    <row r="113" spans="1:14" x14ac:dyDescent="0.45">
      <c r="B113" t="s">
        <v>49</v>
      </c>
      <c r="C113" t="s">
        <v>50</v>
      </c>
      <c r="D113">
        <v>23</v>
      </c>
      <c r="E113" t="s">
        <v>25</v>
      </c>
      <c r="F113">
        <v>37</v>
      </c>
      <c r="G113" t="s">
        <v>51</v>
      </c>
      <c r="I113">
        <v>3</v>
      </c>
      <c r="J113">
        <v>5</v>
      </c>
    </row>
    <row r="114" spans="1:14" x14ac:dyDescent="0.45">
      <c r="B114" t="s">
        <v>49</v>
      </c>
      <c r="C114" t="s">
        <v>50</v>
      </c>
      <c r="D114">
        <v>24</v>
      </c>
      <c r="E114" t="s">
        <v>27</v>
      </c>
      <c r="G114" t="s">
        <v>51</v>
      </c>
      <c r="H114" t="s">
        <v>54</v>
      </c>
      <c r="I114">
        <v>5</v>
      </c>
    </row>
    <row r="115" spans="1:14" x14ac:dyDescent="0.45">
      <c r="B115" t="s">
        <v>49</v>
      </c>
      <c r="C115" t="s">
        <v>50</v>
      </c>
      <c r="D115">
        <v>24</v>
      </c>
      <c r="E115" t="s">
        <v>25</v>
      </c>
      <c r="F115">
        <v>25</v>
      </c>
      <c r="G115" t="s">
        <v>51</v>
      </c>
      <c r="H115" t="s">
        <v>54</v>
      </c>
      <c r="I115">
        <v>5</v>
      </c>
    </row>
    <row r="116" spans="1:14" x14ac:dyDescent="0.45">
      <c r="A116">
        <v>17</v>
      </c>
      <c r="B116" t="s">
        <v>49</v>
      </c>
      <c r="C116" t="s">
        <v>50</v>
      </c>
      <c r="D116">
        <v>25</v>
      </c>
      <c r="E116" t="s">
        <v>27</v>
      </c>
      <c r="F116">
        <v>60</v>
      </c>
      <c r="G116" t="s">
        <v>51</v>
      </c>
      <c r="I116">
        <v>8</v>
      </c>
      <c r="J116">
        <v>6</v>
      </c>
      <c r="K116">
        <v>1</v>
      </c>
      <c r="L116">
        <v>2</v>
      </c>
      <c r="M116" t="s">
        <v>19</v>
      </c>
      <c r="N116" t="s">
        <v>23</v>
      </c>
    </row>
    <row r="117" spans="1:14" x14ac:dyDescent="0.45">
      <c r="B117" t="s">
        <v>49</v>
      </c>
      <c r="C117" t="s">
        <v>50</v>
      </c>
      <c r="D117">
        <v>25</v>
      </c>
      <c r="E117" t="s">
        <v>25</v>
      </c>
      <c r="F117">
        <v>28</v>
      </c>
      <c r="G117" t="s">
        <v>51</v>
      </c>
      <c r="H117" t="s">
        <v>55</v>
      </c>
      <c r="I117">
        <v>8</v>
      </c>
      <c r="J117">
        <v>6</v>
      </c>
    </row>
    <row r="118" spans="1:14" x14ac:dyDescent="0.45">
      <c r="B118" t="s">
        <v>49</v>
      </c>
      <c r="C118" t="s">
        <v>50</v>
      </c>
      <c r="D118">
        <v>26</v>
      </c>
      <c r="E118" t="s">
        <v>27</v>
      </c>
      <c r="G118" t="s">
        <v>51</v>
      </c>
      <c r="H118" t="s">
        <v>55</v>
      </c>
      <c r="I118">
        <v>3</v>
      </c>
    </row>
    <row r="119" spans="1:14" x14ac:dyDescent="0.45">
      <c r="B119" t="s">
        <v>49</v>
      </c>
      <c r="C119" t="s">
        <v>50</v>
      </c>
      <c r="D119">
        <v>26</v>
      </c>
      <c r="E119" t="s">
        <v>25</v>
      </c>
      <c r="F119">
        <v>24</v>
      </c>
      <c r="G119" t="s">
        <v>51</v>
      </c>
      <c r="I119">
        <v>3</v>
      </c>
    </row>
    <row r="120" spans="1:14" x14ac:dyDescent="0.45">
      <c r="B120" t="s">
        <v>49</v>
      </c>
      <c r="E120" t="s">
        <v>56</v>
      </c>
      <c r="F120">
        <v>0.5</v>
      </c>
    </row>
    <row r="121" spans="1:14" x14ac:dyDescent="0.45">
      <c r="B121" t="s">
        <v>49</v>
      </c>
      <c r="E121" t="s">
        <v>56</v>
      </c>
      <c r="F121">
        <v>0.6</v>
      </c>
    </row>
    <row r="122" spans="1:14" x14ac:dyDescent="0.45">
      <c r="B122" t="s">
        <v>49</v>
      </c>
      <c r="E122" t="s">
        <v>56</v>
      </c>
      <c r="F122">
        <v>0.5</v>
      </c>
    </row>
    <row r="123" spans="1:14" x14ac:dyDescent="0.45">
      <c r="B123" t="s">
        <v>49</v>
      </c>
      <c r="E123" t="s">
        <v>56</v>
      </c>
      <c r="F123">
        <v>1</v>
      </c>
    </row>
    <row r="124" spans="1:14" x14ac:dyDescent="0.45">
      <c r="B124" t="s">
        <v>49</v>
      </c>
      <c r="E124" t="s">
        <v>56</v>
      </c>
      <c r="F124">
        <v>0.3</v>
      </c>
    </row>
    <row r="125" spans="1:14" x14ac:dyDescent="0.45">
      <c r="B125" t="s">
        <v>49</v>
      </c>
      <c r="E125" t="s">
        <v>56</v>
      </c>
      <c r="F125">
        <v>0.7</v>
      </c>
    </row>
    <row r="126" spans="1:14" x14ac:dyDescent="0.45">
      <c r="B126" t="s">
        <v>49</v>
      </c>
      <c r="E126" t="s">
        <v>56</v>
      </c>
      <c r="F126">
        <v>0.8</v>
      </c>
    </row>
    <row r="127" spans="1:14" x14ac:dyDescent="0.45">
      <c r="B127" t="s">
        <v>49</v>
      </c>
      <c r="E127" t="s">
        <v>56</v>
      </c>
      <c r="F127">
        <v>0</v>
      </c>
    </row>
    <row r="128" spans="1:14" x14ac:dyDescent="0.45">
      <c r="B128" t="s">
        <v>49</v>
      </c>
      <c r="E128" t="s">
        <v>56</v>
      </c>
      <c r="F128">
        <v>2</v>
      </c>
    </row>
    <row r="129" spans="2:6" x14ac:dyDescent="0.45">
      <c r="B129" t="s">
        <v>49</v>
      </c>
      <c r="E129" t="s">
        <v>56</v>
      </c>
      <c r="F129">
        <v>0.53</v>
      </c>
    </row>
    <row r="130" spans="2:6" x14ac:dyDescent="0.45">
      <c r="B130" t="s">
        <v>49</v>
      </c>
      <c r="E130" t="s">
        <v>56</v>
      </c>
      <c r="F130">
        <v>22</v>
      </c>
    </row>
    <row r="131" spans="2:6" x14ac:dyDescent="0.45">
      <c r="B131" t="s">
        <v>49</v>
      </c>
      <c r="E131" t="s">
        <v>57</v>
      </c>
      <c r="F131">
        <v>11</v>
      </c>
    </row>
    <row r="132" spans="2:6" x14ac:dyDescent="0.45">
      <c r="B132" t="s">
        <v>49</v>
      </c>
      <c r="E132" t="s">
        <v>57</v>
      </c>
      <c r="F132">
        <v>23</v>
      </c>
    </row>
    <row r="133" spans="2:6" x14ac:dyDescent="0.45">
      <c r="B133" t="s">
        <v>49</v>
      </c>
      <c r="E133" t="s">
        <v>57</v>
      </c>
      <c r="F133">
        <v>11</v>
      </c>
    </row>
    <row r="134" spans="2:6" x14ac:dyDescent="0.45">
      <c r="B134" t="s">
        <v>49</v>
      </c>
      <c r="E134" t="s">
        <v>57</v>
      </c>
      <c r="F134">
        <v>9</v>
      </c>
    </row>
    <row r="135" spans="2:6" x14ac:dyDescent="0.45">
      <c r="B135" t="s">
        <v>49</v>
      </c>
      <c r="E135" t="s">
        <v>57</v>
      </c>
      <c r="F135">
        <v>20</v>
      </c>
    </row>
    <row r="136" spans="2:6" x14ac:dyDescent="0.45">
      <c r="B136" t="s">
        <v>49</v>
      </c>
      <c r="E136" t="s">
        <v>57</v>
      </c>
      <c r="F136">
        <v>16</v>
      </c>
    </row>
    <row r="137" spans="2:6" x14ac:dyDescent="0.45">
      <c r="B137" t="s">
        <v>49</v>
      </c>
      <c r="E137" t="s">
        <v>57</v>
      </c>
      <c r="F137">
        <v>18</v>
      </c>
    </row>
    <row r="138" spans="2:6" x14ac:dyDescent="0.45">
      <c r="B138" t="s">
        <v>49</v>
      </c>
      <c r="E138" t="s">
        <v>57</v>
      </c>
      <c r="F138">
        <v>20</v>
      </c>
    </row>
    <row r="139" spans="2:6" x14ac:dyDescent="0.45">
      <c r="B139" t="s">
        <v>49</v>
      </c>
      <c r="E139" t="s">
        <v>57</v>
      </c>
      <c r="F139">
        <v>12</v>
      </c>
    </row>
    <row r="140" spans="2:6" x14ac:dyDescent="0.45">
      <c r="B140" t="s">
        <v>49</v>
      </c>
      <c r="E140" t="s">
        <v>57</v>
      </c>
      <c r="F140">
        <v>11</v>
      </c>
    </row>
    <row r="141" spans="2:6" x14ac:dyDescent="0.45">
      <c r="B141" t="s">
        <v>49</v>
      </c>
      <c r="E141" t="s">
        <v>57</v>
      </c>
      <c r="F141">
        <v>20</v>
      </c>
    </row>
    <row r="142" spans="2:6" x14ac:dyDescent="0.45">
      <c r="B142" t="s">
        <v>49</v>
      </c>
      <c r="E142" t="s">
        <v>57</v>
      </c>
      <c r="F142">
        <v>9</v>
      </c>
    </row>
    <row r="143" spans="2:6" x14ac:dyDescent="0.45">
      <c r="B143" t="s">
        <v>49</v>
      </c>
      <c r="E143" t="s">
        <v>57</v>
      </c>
      <c r="F143">
        <v>18</v>
      </c>
    </row>
    <row r="144" spans="2:6" x14ac:dyDescent="0.45">
      <c r="B144" t="s">
        <v>49</v>
      </c>
      <c r="E144" t="s">
        <v>57</v>
      </c>
      <c r="F144">
        <v>9</v>
      </c>
    </row>
    <row r="145" spans="2:6" x14ac:dyDescent="0.45">
      <c r="B145" t="s">
        <v>49</v>
      </c>
      <c r="E145" t="s">
        <v>57</v>
      </c>
      <c r="F145">
        <v>17</v>
      </c>
    </row>
    <row r="146" spans="2:6" x14ac:dyDescent="0.45">
      <c r="B146" t="s">
        <v>49</v>
      </c>
      <c r="E146" t="s">
        <v>57</v>
      </c>
      <c r="F146">
        <v>12</v>
      </c>
    </row>
    <row r="147" spans="2:6" x14ac:dyDescent="0.45">
      <c r="B147" t="s">
        <v>49</v>
      </c>
      <c r="E147" t="s">
        <v>57</v>
      </c>
      <c r="F147">
        <v>8</v>
      </c>
    </row>
    <row r="148" spans="2:6" x14ac:dyDescent="0.45">
      <c r="B148" t="s">
        <v>49</v>
      </c>
      <c r="E148" t="s">
        <v>57</v>
      </c>
      <c r="F148">
        <v>18</v>
      </c>
    </row>
    <row r="149" spans="2:6" x14ac:dyDescent="0.45">
      <c r="B149" t="s">
        <v>49</v>
      </c>
      <c r="E149" t="s">
        <v>57</v>
      </c>
      <c r="F149">
        <v>13</v>
      </c>
    </row>
    <row r="150" spans="2:6" x14ac:dyDescent="0.45">
      <c r="B150" t="s">
        <v>49</v>
      </c>
      <c r="E150" t="s">
        <v>57</v>
      </c>
      <c r="F150">
        <v>7</v>
      </c>
    </row>
    <row r="151" spans="2:6" x14ac:dyDescent="0.45">
      <c r="B151" t="s">
        <v>49</v>
      </c>
      <c r="E151" t="s">
        <v>57</v>
      </c>
      <c r="F151">
        <v>21</v>
      </c>
    </row>
    <row r="152" spans="2:6" x14ac:dyDescent="0.45">
      <c r="B152" t="s">
        <v>49</v>
      </c>
      <c r="E152" t="s">
        <v>57</v>
      </c>
      <c r="F152">
        <v>13</v>
      </c>
    </row>
    <row r="153" spans="2:6" x14ac:dyDescent="0.45">
      <c r="B153" t="s">
        <v>49</v>
      </c>
      <c r="E153" t="s">
        <v>57</v>
      </c>
      <c r="F153">
        <v>12</v>
      </c>
    </row>
    <row r="154" spans="2:6" x14ac:dyDescent="0.45">
      <c r="B154" t="s">
        <v>49</v>
      </c>
      <c r="E154" t="s">
        <v>57</v>
      </c>
      <c r="F154">
        <v>9</v>
      </c>
    </row>
    <row r="155" spans="2:6" x14ac:dyDescent="0.45">
      <c r="B155" t="s">
        <v>49</v>
      </c>
      <c r="E155" t="s">
        <v>57</v>
      </c>
      <c r="F155">
        <v>7</v>
      </c>
    </row>
    <row r="156" spans="2:6" x14ac:dyDescent="0.45">
      <c r="B156" t="s">
        <v>49</v>
      </c>
      <c r="E156" t="s">
        <v>57</v>
      </c>
      <c r="F156">
        <v>2</v>
      </c>
    </row>
    <row r="157" spans="2:6" x14ac:dyDescent="0.45">
      <c r="B157" t="s">
        <v>49</v>
      </c>
      <c r="E157" t="s">
        <v>57</v>
      </c>
      <c r="F157">
        <v>10</v>
      </c>
    </row>
    <row r="158" spans="2:6" x14ac:dyDescent="0.45">
      <c r="B158" t="s">
        <v>49</v>
      </c>
      <c r="E158" t="s">
        <v>57</v>
      </c>
      <c r="F158">
        <v>12</v>
      </c>
    </row>
    <row r="159" spans="2:6" x14ac:dyDescent="0.45">
      <c r="B159" t="s">
        <v>49</v>
      </c>
      <c r="E159" t="s">
        <v>57</v>
      </c>
      <c r="F159">
        <v>17</v>
      </c>
    </row>
    <row r="160" spans="2:6" x14ac:dyDescent="0.45">
      <c r="B160" t="s">
        <v>49</v>
      </c>
      <c r="E160" t="s">
        <v>57</v>
      </c>
      <c r="F160">
        <v>10</v>
      </c>
    </row>
    <row r="161" spans="2:6" x14ac:dyDescent="0.45">
      <c r="B161" t="s">
        <v>49</v>
      </c>
      <c r="E161" t="s">
        <v>57</v>
      </c>
      <c r="F161">
        <v>17</v>
      </c>
    </row>
    <row r="162" spans="2:6" x14ac:dyDescent="0.45">
      <c r="B162" t="s">
        <v>49</v>
      </c>
      <c r="E162" t="s">
        <v>57</v>
      </c>
      <c r="F162">
        <v>10</v>
      </c>
    </row>
    <row r="163" spans="2:6" x14ac:dyDescent="0.45">
      <c r="B163" t="s">
        <v>49</v>
      </c>
      <c r="E163" t="s">
        <v>57</v>
      </c>
      <c r="F163">
        <v>2</v>
      </c>
    </row>
    <row r="164" spans="2:6" x14ac:dyDescent="0.45">
      <c r="B164" t="s">
        <v>49</v>
      </c>
      <c r="E164" t="s">
        <v>57</v>
      </c>
      <c r="F164">
        <v>30</v>
      </c>
    </row>
    <row r="165" spans="2:6" x14ac:dyDescent="0.45">
      <c r="B165" t="s">
        <v>49</v>
      </c>
      <c r="E165" t="s">
        <v>57</v>
      </c>
    </row>
  </sheetData>
  <autoFilter ref="B1:B165" xr:uid="{3613AE63-9D19-4478-B2A8-EF45C911B515}">
    <filterColumn colId="0">
      <filters>
        <filter val="Kilchoan_young"/>
      </filters>
    </filterColumn>
  </autoFilter>
  <sortState xmlns:xlrd2="http://schemas.microsoft.com/office/spreadsheetml/2017/richdata2" ref="A60:O165">
    <sortCondition ref="D1:D1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5A62-D8A0-4030-90A0-520677ABF517}">
  <dimension ref="A1:P1326"/>
  <sheetViews>
    <sheetView tabSelected="1" zoomScale="78" workbookViewId="0">
      <pane ySplit="1" topLeftCell="A1301" activePane="bottomLeft" state="frozen"/>
      <selection pane="bottomLeft" activeCell="M1320" sqref="M1320"/>
    </sheetView>
  </sheetViews>
  <sheetFormatPr defaultRowHeight="14.25" x14ac:dyDescent="0.45"/>
  <cols>
    <col min="1" max="1" width="9.86328125" customWidth="1"/>
    <col min="2" max="2" width="12.1328125" bestFit="1" customWidth="1"/>
    <col min="3" max="3" width="12.1328125" customWidth="1"/>
    <col min="4" max="4" width="9.59765625" customWidth="1"/>
    <col min="5" max="5" width="12" style="19" bestFit="1" customWidth="1"/>
    <col min="6" max="6" width="12" customWidth="1"/>
    <col min="7" max="7" width="17.86328125" bestFit="1" customWidth="1"/>
    <col min="8" max="9" width="9" customWidth="1"/>
    <col min="11" max="11" width="11.59765625" bestFit="1" customWidth="1"/>
    <col min="12" max="12" width="16.1328125" bestFit="1" customWidth="1"/>
    <col min="13" max="13" width="13.1328125" bestFit="1" customWidth="1"/>
    <col min="14" max="14" width="11.265625" bestFit="1" customWidth="1"/>
    <col min="15" max="15" width="11.86328125" bestFit="1" customWidth="1"/>
    <col min="16" max="16" width="11.59765625" bestFit="1" customWidth="1"/>
  </cols>
  <sheetData>
    <row r="1" spans="1:16" x14ac:dyDescent="0.45">
      <c r="A1" t="s">
        <v>58</v>
      </c>
      <c r="B1" t="s">
        <v>59</v>
      </c>
      <c r="C1" t="s">
        <v>60</v>
      </c>
      <c r="D1" t="s">
        <v>61</v>
      </c>
      <c r="E1" s="19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</row>
    <row r="2" spans="1:16" x14ac:dyDescent="0.45">
      <c r="A2">
        <v>1</v>
      </c>
      <c r="B2" t="s">
        <v>74</v>
      </c>
      <c r="C2" t="str">
        <f>"A" &amp; UPPER(LEFT(B2,1)) &amp; A2</f>
        <v>AW1</v>
      </c>
      <c r="E2" s="19">
        <v>45812</v>
      </c>
      <c r="F2" s="2"/>
      <c r="H2" t="s">
        <v>75</v>
      </c>
      <c r="I2" t="s">
        <v>76</v>
      </c>
      <c r="K2" t="s">
        <v>77</v>
      </c>
      <c r="L2">
        <v>0.2</v>
      </c>
      <c r="M2">
        <f t="shared" ref="M2:M33" si="0">IF(OR(L2="na", L2=""), "", IF(K2="mm", PI()*(L2/2)^2, IF(K2="ep", PI()*(L2/2)*(L2*(2/3)/2), "")))</f>
        <v>2.0943951023931952E-2</v>
      </c>
    </row>
    <row r="3" spans="1:16" x14ac:dyDescent="0.45">
      <c r="A3">
        <v>1</v>
      </c>
      <c r="B3" t="s">
        <v>74</v>
      </c>
      <c r="C3" t="str">
        <f t="shared" ref="C3:C66" si="1">"A" &amp; UPPER(LEFT(B3,1)) &amp; A3</f>
        <v>AW1</v>
      </c>
      <c r="E3" s="19">
        <v>45812</v>
      </c>
      <c r="F3" s="2"/>
      <c r="H3" t="s">
        <v>75</v>
      </c>
      <c r="I3" t="s">
        <v>78</v>
      </c>
      <c r="K3" t="s">
        <v>79</v>
      </c>
      <c r="L3">
        <v>0.1</v>
      </c>
      <c r="M3">
        <f t="shared" si="0"/>
        <v>7.8539816339744835E-3</v>
      </c>
    </row>
    <row r="4" spans="1:16" x14ac:dyDescent="0.45">
      <c r="A4">
        <v>1</v>
      </c>
      <c r="B4" t="s">
        <v>74</v>
      </c>
      <c r="C4" t="str">
        <f t="shared" si="1"/>
        <v>AW1</v>
      </c>
      <c r="E4" s="19">
        <v>45812</v>
      </c>
      <c r="F4" s="2"/>
      <c r="H4" t="s">
        <v>75</v>
      </c>
      <c r="I4" t="s">
        <v>80</v>
      </c>
      <c r="K4" t="s">
        <v>79</v>
      </c>
      <c r="L4">
        <v>0.4</v>
      </c>
      <c r="M4">
        <f t="shared" si="0"/>
        <v>0.12566370614359174</v>
      </c>
    </row>
    <row r="5" spans="1:16" x14ac:dyDescent="0.45">
      <c r="A5">
        <v>1</v>
      </c>
      <c r="B5" t="s">
        <v>74</v>
      </c>
      <c r="C5" t="str">
        <f t="shared" si="1"/>
        <v>AW1</v>
      </c>
      <c r="E5" s="19">
        <v>45812</v>
      </c>
      <c r="F5" s="2"/>
      <c r="H5" t="s">
        <v>81</v>
      </c>
      <c r="I5" t="s">
        <v>76</v>
      </c>
      <c r="K5" t="s">
        <v>77</v>
      </c>
      <c r="L5">
        <v>0.2</v>
      </c>
      <c r="M5">
        <f t="shared" si="0"/>
        <v>2.0943951023931952E-2</v>
      </c>
    </row>
    <row r="6" spans="1:16" x14ac:dyDescent="0.45">
      <c r="A6">
        <v>1</v>
      </c>
      <c r="B6" t="s">
        <v>74</v>
      </c>
      <c r="C6" t="str">
        <f t="shared" si="1"/>
        <v>AW1</v>
      </c>
      <c r="E6" s="19">
        <v>45812</v>
      </c>
      <c r="F6" s="2"/>
      <c r="H6" t="s">
        <v>81</v>
      </c>
      <c r="I6" t="s">
        <v>78</v>
      </c>
      <c r="K6" t="s">
        <v>77</v>
      </c>
      <c r="L6">
        <v>0.3</v>
      </c>
      <c r="M6">
        <f t="shared" si="0"/>
        <v>4.7123889803846894E-2</v>
      </c>
    </row>
    <row r="7" spans="1:16" x14ac:dyDescent="0.45">
      <c r="A7">
        <v>1</v>
      </c>
      <c r="B7" t="s">
        <v>74</v>
      </c>
      <c r="C7" t="str">
        <f t="shared" si="1"/>
        <v>AW1</v>
      </c>
      <c r="E7" s="19">
        <v>45812</v>
      </c>
      <c r="F7" s="2"/>
      <c r="H7" t="s">
        <v>81</v>
      </c>
      <c r="I7" t="s">
        <v>78</v>
      </c>
      <c r="K7" t="s">
        <v>79</v>
      </c>
      <c r="L7">
        <v>0.2</v>
      </c>
      <c r="M7">
        <f t="shared" si="0"/>
        <v>3.1415926535897934E-2</v>
      </c>
      <c r="O7">
        <v>2</v>
      </c>
    </row>
    <row r="8" spans="1:16" x14ac:dyDescent="0.45">
      <c r="A8">
        <v>1</v>
      </c>
      <c r="B8" t="s">
        <v>74</v>
      </c>
      <c r="C8" t="str">
        <f t="shared" si="1"/>
        <v>AW1</v>
      </c>
      <c r="E8" s="19">
        <v>45812</v>
      </c>
      <c r="F8" s="2"/>
      <c r="H8" t="s">
        <v>81</v>
      </c>
      <c r="I8" t="s">
        <v>80</v>
      </c>
      <c r="K8" t="s">
        <v>79</v>
      </c>
      <c r="L8">
        <v>0.3</v>
      </c>
      <c r="M8">
        <f t="shared" si="0"/>
        <v>7.0685834705770348E-2</v>
      </c>
    </row>
    <row r="9" spans="1:16" x14ac:dyDescent="0.45">
      <c r="A9">
        <v>1</v>
      </c>
      <c r="B9" t="s">
        <v>74</v>
      </c>
      <c r="C9" t="str">
        <f t="shared" si="1"/>
        <v>AW1</v>
      </c>
      <c r="E9" s="19">
        <v>45812</v>
      </c>
      <c r="F9" s="2"/>
      <c r="H9" t="s">
        <v>81</v>
      </c>
      <c r="I9" t="s">
        <v>80</v>
      </c>
      <c r="K9" t="s">
        <v>79</v>
      </c>
      <c r="L9">
        <v>0.3</v>
      </c>
      <c r="M9">
        <f t="shared" si="0"/>
        <v>7.0685834705770348E-2</v>
      </c>
    </row>
    <row r="10" spans="1:16" x14ac:dyDescent="0.45">
      <c r="A10">
        <v>1</v>
      </c>
      <c r="B10" t="s">
        <v>82</v>
      </c>
      <c r="C10" t="str">
        <f t="shared" si="1"/>
        <v>AR1</v>
      </c>
      <c r="E10" s="19">
        <v>45812</v>
      </c>
      <c r="F10" s="2"/>
      <c r="H10" t="s">
        <v>75</v>
      </c>
      <c r="I10" t="s">
        <v>76</v>
      </c>
      <c r="K10" t="s">
        <v>77</v>
      </c>
      <c r="L10">
        <v>0.7</v>
      </c>
      <c r="M10">
        <f t="shared" si="0"/>
        <v>0.25656340004316641</v>
      </c>
    </row>
    <row r="11" spans="1:16" x14ac:dyDescent="0.45">
      <c r="A11">
        <v>1</v>
      </c>
      <c r="B11" t="s">
        <v>82</v>
      </c>
      <c r="C11" t="str">
        <f t="shared" si="1"/>
        <v>AR1</v>
      </c>
      <c r="E11" s="19">
        <v>45812</v>
      </c>
      <c r="F11" s="2"/>
      <c r="H11" t="s">
        <v>75</v>
      </c>
      <c r="I11" t="s">
        <v>76</v>
      </c>
      <c r="K11" t="s">
        <v>79</v>
      </c>
      <c r="L11">
        <v>0.2</v>
      </c>
      <c r="M11">
        <f t="shared" si="0"/>
        <v>3.1415926535897934E-2</v>
      </c>
      <c r="N11">
        <v>1</v>
      </c>
      <c r="O11">
        <v>1</v>
      </c>
    </row>
    <row r="12" spans="1:16" x14ac:dyDescent="0.45">
      <c r="A12">
        <v>1</v>
      </c>
      <c r="B12" t="s">
        <v>82</v>
      </c>
      <c r="C12" t="str">
        <f t="shared" si="1"/>
        <v>AR1</v>
      </c>
      <c r="E12" s="19">
        <v>45812</v>
      </c>
      <c r="F12" s="2"/>
      <c r="H12" t="s">
        <v>75</v>
      </c>
      <c r="I12" t="s">
        <v>76</v>
      </c>
      <c r="K12" t="s">
        <v>79</v>
      </c>
      <c r="L12">
        <v>0.1</v>
      </c>
      <c r="M12">
        <f t="shared" si="0"/>
        <v>7.8539816339744835E-3</v>
      </c>
    </row>
    <row r="13" spans="1:16" x14ac:dyDescent="0.45">
      <c r="A13">
        <v>1</v>
      </c>
      <c r="B13" t="s">
        <v>82</v>
      </c>
      <c r="C13" t="str">
        <f t="shared" si="1"/>
        <v>AR1</v>
      </c>
      <c r="E13" s="19">
        <v>45812</v>
      </c>
      <c r="F13" s="2"/>
      <c r="H13" t="s">
        <v>75</v>
      </c>
      <c r="I13" t="s">
        <v>76</v>
      </c>
      <c r="K13" t="s">
        <v>79</v>
      </c>
      <c r="L13">
        <v>0.3</v>
      </c>
      <c r="M13">
        <f t="shared" si="0"/>
        <v>7.0685834705770348E-2</v>
      </c>
    </row>
    <row r="14" spans="1:16" x14ac:dyDescent="0.45">
      <c r="A14">
        <v>1</v>
      </c>
      <c r="B14" t="s">
        <v>82</v>
      </c>
      <c r="C14" t="str">
        <f t="shared" si="1"/>
        <v>AR1</v>
      </c>
      <c r="E14" s="19">
        <v>45812</v>
      </c>
      <c r="F14" s="2"/>
      <c r="H14" t="s">
        <v>75</v>
      </c>
      <c r="I14" t="s">
        <v>78</v>
      </c>
      <c r="K14" t="s">
        <v>77</v>
      </c>
      <c r="L14">
        <v>0.7</v>
      </c>
      <c r="M14">
        <f t="shared" si="0"/>
        <v>0.25656340004316641</v>
      </c>
    </row>
    <row r="15" spans="1:16" x14ac:dyDescent="0.45">
      <c r="A15">
        <v>1</v>
      </c>
      <c r="B15" t="s">
        <v>82</v>
      </c>
      <c r="C15" t="str">
        <f t="shared" si="1"/>
        <v>AR1</v>
      </c>
      <c r="E15" s="19">
        <v>45812</v>
      </c>
      <c r="F15" s="2"/>
      <c r="H15" t="s">
        <v>75</v>
      </c>
      <c r="I15" t="s">
        <v>78</v>
      </c>
      <c r="K15" t="s">
        <v>79</v>
      </c>
      <c r="L15">
        <v>0.3</v>
      </c>
      <c r="M15">
        <f t="shared" si="0"/>
        <v>7.0685834705770348E-2</v>
      </c>
    </row>
    <row r="16" spans="1:16" x14ac:dyDescent="0.45">
      <c r="A16">
        <v>1</v>
      </c>
      <c r="B16" t="s">
        <v>82</v>
      </c>
      <c r="C16" t="str">
        <f t="shared" si="1"/>
        <v>AR1</v>
      </c>
      <c r="E16" s="19">
        <v>45812</v>
      </c>
      <c r="F16" s="2"/>
      <c r="H16" t="s">
        <v>75</v>
      </c>
      <c r="I16" t="s">
        <v>78</v>
      </c>
      <c r="K16" t="s">
        <v>79</v>
      </c>
      <c r="L16">
        <v>0.4</v>
      </c>
      <c r="M16">
        <f t="shared" si="0"/>
        <v>0.12566370614359174</v>
      </c>
    </row>
    <row r="17" spans="1:15" x14ac:dyDescent="0.45">
      <c r="A17">
        <v>1</v>
      </c>
      <c r="B17" t="s">
        <v>82</v>
      </c>
      <c r="C17" t="str">
        <f t="shared" si="1"/>
        <v>AR1</v>
      </c>
      <c r="E17" s="19">
        <v>45812</v>
      </c>
      <c r="F17" s="2"/>
      <c r="H17" t="s">
        <v>75</v>
      </c>
      <c r="I17" t="s">
        <v>78</v>
      </c>
      <c r="K17" t="s">
        <v>79</v>
      </c>
      <c r="L17">
        <v>0.3</v>
      </c>
      <c r="M17">
        <f t="shared" si="0"/>
        <v>7.0685834705770348E-2</v>
      </c>
    </row>
    <row r="18" spans="1:15" x14ac:dyDescent="0.45">
      <c r="A18">
        <v>1</v>
      </c>
      <c r="B18" t="s">
        <v>82</v>
      </c>
      <c r="C18" t="str">
        <f t="shared" si="1"/>
        <v>AR1</v>
      </c>
      <c r="E18" s="19">
        <v>45812</v>
      </c>
      <c r="F18" s="2"/>
      <c r="H18" t="s">
        <v>75</v>
      </c>
      <c r="I18" t="s">
        <v>78</v>
      </c>
      <c r="K18" t="s">
        <v>79</v>
      </c>
      <c r="L18">
        <v>0.4</v>
      </c>
      <c r="M18">
        <f t="shared" si="0"/>
        <v>0.12566370614359174</v>
      </c>
    </row>
    <row r="19" spans="1:15" x14ac:dyDescent="0.45">
      <c r="A19">
        <v>1</v>
      </c>
      <c r="B19" t="s">
        <v>82</v>
      </c>
      <c r="C19" t="str">
        <f t="shared" si="1"/>
        <v>AR1</v>
      </c>
      <c r="E19" s="19">
        <v>45812</v>
      </c>
      <c r="F19" s="2"/>
      <c r="H19" t="s">
        <v>75</v>
      </c>
      <c r="I19" t="s">
        <v>78</v>
      </c>
      <c r="K19" t="s">
        <v>79</v>
      </c>
      <c r="L19">
        <v>0.3</v>
      </c>
      <c r="M19">
        <f t="shared" si="0"/>
        <v>7.0685834705770348E-2</v>
      </c>
    </row>
    <row r="20" spans="1:15" x14ac:dyDescent="0.45">
      <c r="A20">
        <v>1</v>
      </c>
      <c r="B20" t="s">
        <v>82</v>
      </c>
      <c r="C20" t="str">
        <f t="shared" si="1"/>
        <v>AR1</v>
      </c>
      <c r="E20" s="19">
        <v>45812</v>
      </c>
      <c r="F20" s="2"/>
      <c r="H20" t="s">
        <v>75</v>
      </c>
      <c r="I20" t="s">
        <v>78</v>
      </c>
      <c r="K20" t="s">
        <v>79</v>
      </c>
      <c r="L20">
        <v>0.4</v>
      </c>
      <c r="M20">
        <f t="shared" si="0"/>
        <v>0.12566370614359174</v>
      </c>
    </row>
    <row r="21" spans="1:15" x14ac:dyDescent="0.45">
      <c r="A21">
        <v>1</v>
      </c>
      <c r="B21" t="s">
        <v>82</v>
      </c>
      <c r="C21" t="str">
        <f t="shared" si="1"/>
        <v>AR1</v>
      </c>
      <c r="E21" s="19">
        <v>45812</v>
      </c>
      <c r="F21" s="2"/>
      <c r="H21" t="s">
        <v>75</v>
      </c>
      <c r="I21" t="s">
        <v>80</v>
      </c>
      <c r="K21" t="s">
        <v>83</v>
      </c>
      <c r="M21" t="str">
        <f t="shared" si="0"/>
        <v/>
      </c>
    </row>
    <row r="22" spans="1:15" x14ac:dyDescent="0.45">
      <c r="A22">
        <v>1</v>
      </c>
      <c r="B22" t="s">
        <v>82</v>
      </c>
      <c r="C22" t="str">
        <f t="shared" si="1"/>
        <v>AR1</v>
      </c>
      <c r="E22" s="19">
        <v>45812</v>
      </c>
      <c r="F22" s="2"/>
      <c r="H22" t="s">
        <v>81</v>
      </c>
      <c r="I22" t="s">
        <v>76</v>
      </c>
      <c r="K22" t="s">
        <v>77</v>
      </c>
      <c r="L22">
        <v>0.5</v>
      </c>
      <c r="M22">
        <f t="shared" si="0"/>
        <v>0.1308996938995747</v>
      </c>
    </row>
    <row r="23" spans="1:15" x14ac:dyDescent="0.45">
      <c r="A23">
        <v>1</v>
      </c>
      <c r="B23" t="s">
        <v>82</v>
      </c>
      <c r="C23" t="str">
        <f t="shared" si="1"/>
        <v>AR1</v>
      </c>
      <c r="E23" s="19">
        <v>45812</v>
      </c>
      <c r="F23" s="2"/>
      <c r="H23" t="s">
        <v>81</v>
      </c>
      <c r="I23" t="s">
        <v>76</v>
      </c>
      <c r="K23" t="s">
        <v>79</v>
      </c>
      <c r="L23">
        <v>0.3</v>
      </c>
      <c r="M23">
        <f t="shared" si="0"/>
        <v>7.0685834705770348E-2</v>
      </c>
      <c r="O23">
        <v>2</v>
      </c>
    </row>
    <row r="24" spans="1:15" x14ac:dyDescent="0.45">
      <c r="A24">
        <v>1</v>
      </c>
      <c r="B24" t="s">
        <v>82</v>
      </c>
      <c r="C24" t="str">
        <f t="shared" si="1"/>
        <v>AR1</v>
      </c>
      <c r="E24" s="19">
        <v>45812</v>
      </c>
      <c r="F24" s="2"/>
      <c r="H24" t="s">
        <v>81</v>
      </c>
      <c r="I24" t="s">
        <v>76</v>
      </c>
      <c r="K24" t="s">
        <v>79</v>
      </c>
      <c r="L24">
        <v>0.1</v>
      </c>
      <c r="M24">
        <f t="shared" si="0"/>
        <v>7.8539816339744835E-3</v>
      </c>
    </row>
    <row r="25" spans="1:15" x14ac:dyDescent="0.45">
      <c r="A25">
        <v>1</v>
      </c>
      <c r="B25" t="s">
        <v>82</v>
      </c>
      <c r="C25" t="str">
        <f t="shared" si="1"/>
        <v>AR1</v>
      </c>
      <c r="E25" s="19">
        <v>45812</v>
      </c>
      <c r="F25" s="2"/>
      <c r="H25" t="s">
        <v>81</v>
      </c>
      <c r="I25" t="s">
        <v>76</v>
      </c>
      <c r="K25" t="s">
        <v>79</v>
      </c>
      <c r="L25">
        <v>0.1</v>
      </c>
      <c r="M25">
        <f t="shared" si="0"/>
        <v>7.8539816339744835E-3</v>
      </c>
    </row>
    <row r="26" spans="1:15" x14ac:dyDescent="0.45">
      <c r="A26">
        <v>1</v>
      </c>
      <c r="B26" t="s">
        <v>82</v>
      </c>
      <c r="C26" t="str">
        <f t="shared" si="1"/>
        <v>AR1</v>
      </c>
      <c r="E26" s="19">
        <v>45812</v>
      </c>
      <c r="F26" s="2"/>
      <c r="H26" t="s">
        <v>81</v>
      </c>
      <c r="I26" t="s">
        <v>78</v>
      </c>
      <c r="K26" t="s">
        <v>77</v>
      </c>
      <c r="L26">
        <v>0.2</v>
      </c>
      <c r="M26">
        <f t="shared" si="0"/>
        <v>2.0943951023931952E-2</v>
      </c>
      <c r="N26">
        <v>4</v>
      </c>
      <c r="O26">
        <v>1</v>
      </c>
    </row>
    <row r="27" spans="1:15" x14ac:dyDescent="0.45">
      <c r="A27">
        <v>1</v>
      </c>
      <c r="B27" t="s">
        <v>82</v>
      </c>
      <c r="C27" t="str">
        <f t="shared" si="1"/>
        <v>AR1</v>
      </c>
      <c r="E27" s="19">
        <v>45812</v>
      </c>
      <c r="F27" s="2"/>
      <c r="H27" t="s">
        <v>81</v>
      </c>
      <c r="I27" t="s">
        <v>78</v>
      </c>
      <c r="K27" t="s">
        <v>77</v>
      </c>
      <c r="L27">
        <v>1</v>
      </c>
      <c r="M27">
        <f t="shared" si="0"/>
        <v>0.52359877559829882</v>
      </c>
    </row>
    <row r="28" spans="1:15" x14ac:dyDescent="0.45">
      <c r="A28">
        <v>1</v>
      </c>
      <c r="B28" t="s">
        <v>82</v>
      </c>
      <c r="C28" t="str">
        <f t="shared" si="1"/>
        <v>AR1</v>
      </c>
      <c r="E28" s="19">
        <v>45812</v>
      </c>
      <c r="F28" s="2"/>
      <c r="H28" t="s">
        <v>81</v>
      </c>
      <c r="I28" t="s">
        <v>78</v>
      </c>
      <c r="K28" t="s">
        <v>79</v>
      </c>
      <c r="L28">
        <v>1.3</v>
      </c>
      <c r="M28">
        <f t="shared" si="0"/>
        <v>1.3273228961416876</v>
      </c>
    </row>
    <row r="29" spans="1:15" x14ac:dyDescent="0.45">
      <c r="A29">
        <v>1</v>
      </c>
      <c r="B29" t="s">
        <v>82</v>
      </c>
      <c r="C29" t="str">
        <f t="shared" si="1"/>
        <v>AR1</v>
      </c>
      <c r="E29" s="19">
        <v>45812</v>
      </c>
      <c r="F29" s="2"/>
      <c r="H29" t="s">
        <v>81</v>
      </c>
      <c r="I29" t="s">
        <v>78</v>
      </c>
      <c r="K29" t="s">
        <v>79</v>
      </c>
      <c r="L29">
        <v>0.4</v>
      </c>
      <c r="M29">
        <f t="shared" si="0"/>
        <v>0.12566370614359174</v>
      </c>
    </row>
    <row r="30" spans="1:15" x14ac:dyDescent="0.45">
      <c r="A30">
        <v>1</v>
      </c>
      <c r="B30" t="s">
        <v>82</v>
      </c>
      <c r="C30" t="str">
        <f t="shared" si="1"/>
        <v>AR1</v>
      </c>
      <c r="E30" s="19">
        <v>45812</v>
      </c>
      <c r="F30" s="2"/>
      <c r="H30" t="s">
        <v>81</v>
      </c>
      <c r="I30" t="s">
        <v>78</v>
      </c>
      <c r="K30" t="s">
        <v>79</v>
      </c>
      <c r="L30">
        <v>0.2</v>
      </c>
      <c r="M30">
        <f t="shared" si="0"/>
        <v>3.1415926535897934E-2</v>
      </c>
    </row>
    <row r="31" spans="1:15" x14ac:dyDescent="0.45">
      <c r="A31">
        <v>1</v>
      </c>
      <c r="B31" t="s">
        <v>82</v>
      </c>
      <c r="C31" t="str">
        <f t="shared" si="1"/>
        <v>AR1</v>
      </c>
      <c r="E31" s="19">
        <v>45812</v>
      </c>
      <c r="F31" s="2"/>
      <c r="H31" t="s">
        <v>81</v>
      </c>
      <c r="I31" t="s">
        <v>80</v>
      </c>
      <c r="K31" t="s">
        <v>83</v>
      </c>
      <c r="M31" t="str">
        <f t="shared" si="0"/>
        <v/>
      </c>
    </row>
    <row r="32" spans="1:15" x14ac:dyDescent="0.45">
      <c r="A32">
        <v>2</v>
      </c>
      <c r="B32" t="s">
        <v>74</v>
      </c>
      <c r="C32" t="str">
        <f t="shared" si="1"/>
        <v>AW2</v>
      </c>
      <c r="E32" s="19">
        <v>45812</v>
      </c>
      <c r="F32" s="2"/>
      <c r="H32" t="s">
        <v>75</v>
      </c>
      <c r="I32" t="s">
        <v>76</v>
      </c>
      <c r="K32" t="s">
        <v>83</v>
      </c>
      <c r="M32" t="str">
        <f t="shared" si="0"/>
        <v/>
      </c>
    </row>
    <row r="33" spans="1:15" x14ac:dyDescent="0.45">
      <c r="A33">
        <v>2</v>
      </c>
      <c r="B33" t="s">
        <v>74</v>
      </c>
      <c r="C33" t="str">
        <f t="shared" si="1"/>
        <v>AW2</v>
      </c>
      <c r="E33" s="19">
        <v>45812</v>
      </c>
      <c r="F33" s="2"/>
      <c r="H33" t="s">
        <v>75</v>
      </c>
      <c r="I33" t="s">
        <v>78</v>
      </c>
      <c r="K33" t="s">
        <v>77</v>
      </c>
      <c r="L33">
        <v>0.4</v>
      </c>
      <c r="M33">
        <f t="shared" si="0"/>
        <v>8.377580409572781E-2</v>
      </c>
    </row>
    <row r="34" spans="1:15" x14ac:dyDescent="0.45">
      <c r="A34">
        <v>2</v>
      </c>
      <c r="B34" t="s">
        <v>74</v>
      </c>
      <c r="C34" t="str">
        <f t="shared" si="1"/>
        <v>AW2</v>
      </c>
      <c r="E34" s="19">
        <v>45812</v>
      </c>
      <c r="F34" s="2"/>
      <c r="H34" t="s">
        <v>75</v>
      </c>
      <c r="I34" t="s">
        <v>80</v>
      </c>
      <c r="M34" t="str">
        <f t="shared" ref="M34:M65" si="2">IF(OR(L34="na", L34=""), "", IF(K34="mm", PI()*(L34/2)^2, IF(K34="ep", PI()*(L34/2)*(L34*(2/3)/2), "")))</f>
        <v/>
      </c>
      <c r="O34">
        <v>1</v>
      </c>
    </row>
    <row r="35" spans="1:15" x14ac:dyDescent="0.45">
      <c r="A35">
        <v>2</v>
      </c>
      <c r="B35" t="s">
        <v>74</v>
      </c>
      <c r="C35" t="str">
        <f t="shared" si="1"/>
        <v>AW2</v>
      </c>
      <c r="E35" s="19">
        <v>45812</v>
      </c>
      <c r="F35" s="2"/>
      <c r="H35" t="s">
        <v>81</v>
      </c>
      <c r="I35" t="s">
        <v>76</v>
      </c>
      <c r="K35" t="s">
        <v>83</v>
      </c>
      <c r="M35" t="str">
        <f t="shared" si="2"/>
        <v/>
      </c>
    </row>
    <row r="36" spans="1:15" x14ac:dyDescent="0.45">
      <c r="A36">
        <v>2</v>
      </c>
      <c r="B36" t="s">
        <v>74</v>
      </c>
      <c r="C36" t="str">
        <f t="shared" si="1"/>
        <v>AW2</v>
      </c>
      <c r="E36" s="19">
        <v>45812</v>
      </c>
      <c r="F36" s="2"/>
      <c r="H36" t="s">
        <v>81</v>
      </c>
      <c r="I36" t="s">
        <v>78</v>
      </c>
      <c r="K36" t="s">
        <v>83</v>
      </c>
      <c r="M36" t="str">
        <f t="shared" si="2"/>
        <v/>
      </c>
    </row>
    <row r="37" spans="1:15" x14ac:dyDescent="0.45">
      <c r="A37">
        <v>2</v>
      </c>
      <c r="B37" t="s">
        <v>74</v>
      </c>
      <c r="C37" t="str">
        <f t="shared" si="1"/>
        <v>AW2</v>
      </c>
      <c r="E37" s="19">
        <v>45812</v>
      </c>
      <c r="F37" s="2"/>
      <c r="H37" t="s">
        <v>81</v>
      </c>
      <c r="I37" t="s">
        <v>80</v>
      </c>
      <c r="K37" t="s">
        <v>77</v>
      </c>
      <c r="L37">
        <v>0.5</v>
      </c>
      <c r="M37">
        <f t="shared" si="2"/>
        <v>0.1308996938995747</v>
      </c>
    </row>
    <row r="38" spans="1:15" x14ac:dyDescent="0.45">
      <c r="A38">
        <v>2</v>
      </c>
      <c r="B38" t="s">
        <v>74</v>
      </c>
      <c r="C38" t="str">
        <f t="shared" si="1"/>
        <v>AW2</v>
      </c>
      <c r="E38" s="19">
        <v>45812</v>
      </c>
      <c r="F38" s="2"/>
      <c r="H38" t="s">
        <v>81</v>
      </c>
      <c r="I38" t="s">
        <v>80</v>
      </c>
      <c r="K38" t="s">
        <v>79</v>
      </c>
      <c r="L38">
        <v>0.2</v>
      </c>
      <c r="M38">
        <f t="shared" si="2"/>
        <v>3.1415926535897934E-2</v>
      </c>
    </row>
    <row r="39" spans="1:15" x14ac:dyDescent="0.45">
      <c r="A39">
        <v>2</v>
      </c>
      <c r="B39" t="s">
        <v>74</v>
      </c>
      <c r="C39" t="str">
        <f t="shared" si="1"/>
        <v>AW2</v>
      </c>
      <c r="E39" s="19">
        <v>45812</v>
      </c>
      <c r="F39" s="2"/>
      <c r="H39" t="s">
        <v>81</v>
      </c>
      <c r="I39" t="s">
        <v>80</v>
      </c>
      <c r="K39" t="s">
        <v>79</v>
      </c>
      <c r="L39">
        <v>0.3</v>
      </c>
      <c r="M39">
        <f t="shared" si="2"/>
        <v>7.0685834705770348E-2</v>
      </c>
    </row>
    <row r="40" spans="1:15" x14ac:dyDescent="0.45">
      <c r="A40">
        <v>2</v>
      </c>
      <c r="B40" t="s">
        <v>74</v>
      </c>
      <c r="C40" t="str">
        <f t="shared" si="1"/>
        <v>AW2</v>
      </c>
      <c r="E40" s="19">
        <v>45812</v>
      </c>
      <c r="F40" s="2"/>
      <c r="H40" t="s">
        <v>81</v>
      </c>
      <c r="I40" t="s">
        <v>80</v>
      </c>
      <c r="K40" t="s">
        <v>79</v>
      </c>
      <c r="L40">
        <v>0.2</v>
      </c>
      <c r="M40">
        <f t="shared" si="2"/>
        <v>3.1415926535897934E-2</v>
      </c>
    </row>
    <row r="41" spans="1:15" x14ac:dyDescent="0.45">
      <c r="A41">
        <v>2</v>
      </c>
      <c r="B41" t="s">
        <v>82</v>
      </c>
      <c r="C41" t="str">
        <f t="shared" si="1"/>
        <v>AR2</v>
      </c>
      <c r="E41" s="19">
        <v>45812</v>
      </c>
      <c r="F41" s="2"/>
      <c r="H41" t="s">
        <v>75</v>
      </c>
      <c r="I41" t="s">
        <v>76</v>
      </c>
      <c r="M41" t="str">
        <f t="shared" si="2"/>
        <v/>
      </c>
      <c r="N41">
        <v>3</v>
      </c>
    </row>
    <row r="42" spans="1:15" x14ac:dyDescent="0.45">
      <c r="A42">
        <v>2</v>
      </c>
      <c r="B42" t="s">
        <v>82</v>
      </c>
      <c r="C42" t="str">
        <f t="shared" si="1"/>
        <v>AR2</v>
      </c>
      <c r="E42" s="19">
        <v>45812</v>
      </c>
      <c r="F42" s="2"/>
      <c r="H42" t="s">
        <v>75</v>
      </c>
      <c r="I42" t="s">
        <v>78</v>
      </c>
      <c r="K42" t="s">
        <v>77</v>
      </c>
      <c r="L42">
        <v>1</v>
      </c>
      <c r="M42">
        <f t="shared" si="2"/>
        <v>0.52359877559829882</v>
      </c>
    </row>
    <row r="43" spans="1:15" x14ac:dyDescent="0.45">
      <c r="A43">
        <v>2</v>
      </c>
      <c r="B43" t="s">
        <v>82</v>
      </c>
      <c r="C43" t="str">
        <f t="shared" si="1"/>
        <v>AR2</v>
      </c>
      <c r="E43" s="19">
        <v>45812</v>
      </c>
      <c r="F43" s="2"/>
      <c r="H43" t="s">
        <v>75</v>
      </c>
      <c r="I43" t="s">
        <v>78</v>
      </c>
      <c r="K43" t="s">
        <v>79</v>
      </c>
      <c r="L43">
        <v>0.2</v>
      </c>
      <c r="M43">
        <f t="shared" si="2"/>
        <v>3.1415926535897934E-2</v>
      </c>
    </row>
    <row r="44" spans="1:15" x14ac:dyDescent="0.45">
      <c r="A44">
        <v>2</v>
      </c>
      <c r="B44" t="s">
        <v>82</v>
      </c>
      <c r="C44" t="str">
        <f t="shared" si="1"/>
        <v>AR2</v>
      </c>
      <c r="E44" s="19">
        <v>45812</v>
      </c>
      <c r="F44" s="2"/>
      <c r="H44" t="s">
        <v>75</v>
      </c>
      <c r="I44" t="s">
        <v>78</v>
      </c>
      <c r="K44" t="s">
        <v>79</v>
      </c>
      <c r="L44">
        <v>0.2</v>
      </c>
      <c r="M44">
        <f t="shared" si="2"/>
        <v>3.1415926535897934E-2</v>
      </c>
    </row>
    <row r="45" spans="1:15" x14ac:dyDescent="0.45">
      <c r="A45">
        <v>2</v>
      </c>
      <c r="B45" t="s">
        <v>82</v>
      </c>
      <c r="C45" t="str">
        <f t="shared" si="1"/>
        <v>AR2</v>
      </c>
      <c r="E45" s="19">
        <v>45812</v>
      </c>
      <c r="F45" s="2"/>
      <c r="H45" t="s">
        <v>75</v>
      </c>
      <c r="I45" t="s">
        <v>78</v>
      </c>
      <c r="K45" t="s">
        <v>79</v>
      </c>
      <c r="L45">
        <v>0.1</v>
      </c>
      <c r="M45">
        <f t="shared" si="2"/>
        <v>7.8539816339744835E-3</v>
      </c>
    </row>
    <row r="46" spans="1:15" x14ac:dyDescent="0.45">
      <c r="A46">
        <v>2</v>
      </c>
      <c r="B46" t="s">
        <v>82</v>
      </c>
      <c r="C46" t="str">
        <f t="shared" si="1"/>
        <v>AR2</v>
      </c>
      <c r="E46" s="19">
        <v>45812</v>
      </c>
      <c r="F46" s="2"/>
      <c r="H46" t="s">
        <v>75</v>
      </c>
      <c r="I46" t="s">
        <v>78</v>
      </c>
      <c r="K46" t="s">
        <v>79</v>
      </c>
      <c r="L46">
        <v>1</v>
      </c>
      <c r="M46">
        <f t="shared" si="2"/>
        <v>0.78539816339744828</v>
      </c>
    </row>
    <row r="47" spans="1:15" x14ac:dyDescent="0.45">
      <c r="A47">
        <v>2</v>
      </c>
      <c r="B47" t="s">
        <v>82</v>
      </c>
      <c r="C47" t="str">
        <f t="shared" si="1"/>
        <v>AR2</v>
      </c>
      <c r="E47" s="19">
        <v>45812</v>
      </c>
      <c r="F47" s="2"/>
      <c r="H47" t="s">
        <v>75</v>
      </c>
      <c r="I47" t="s">
        <v>78</v>
      </c>
      <c r="K47" t="s">
        <v>79</v>
      </c>
      <c r="L47">
        <v>1</v>
      </c>
      <c r="M47">
        <f t="shared" si="2"/>
        <v>0.78539816339744828</v>
      </c>
    </row>
    <row r="48" spans="1:15" x14ac:dyDescent="0.45">
      <c r="A48">
        <v>2</v>
      </c>
      <c r="B48" t="s">
        <v>82</v>
      </c>
      <c r="C48" t="str">
        <f t="shared" si="1"/>
        <v>AR2</v>
      </c>
      <c r="E48" s="19">
        <v>45812</v>
      </c>
      <c r="F48" s="2"/>
      <c r="H48" t="s">
        <v>75</v>
      </c>
      <c r="I48" t="s">
        <v>80</v>
      </c>
      <c r="K48" t="s">
        <v>83</v>
      </c>
      <c r="M48" t="str">
        <f t="shared" si="2"/>
        <v/>
      </c>
    </row>
    <row r="49" spans="1:15" x14ac:dyDescent="0.45">
      <c r="A49">
        <v>2</v>
      </c>
      <c r="B49" t="s">
        <v>82</v>
      </c>
      <c r="C49" t="str">
        <f t="shared" si="1"/>
        <v>AR2</v>
      </c>
      <c r="E49" s="19">
        <v>45812</v>
      </c>
      <c r="F49" s="2"/>
      <c r="H49" t="s">
        <v>81</v>
      </c>
      <c r="I49" t="s">
        <v>76</v>
      </c>
      <c r="K49" t="s">
        <v>79</v>
      </c>
      <c r="L49">
        <v>1.5</v>
      </c>
      <c r="M49">
        <f t="shared" si="2"/>
        <v>1.7671458676442586</v>
      </c>
    </row>
    <row r="50" spans="1:15" x14ac:dyDescent="0.45">
      <c r="A50">
        <v>2</v>
      </c>
      <c r="B50" t="s">
        <v>82</v>
      </c>
      <c r="C50" t="str">
        <f t="shared" si="1"/>
        <v>AR2</v>
      </c>
      <c r="E50" s="19">
        <v>45812</v>
      </c>
      <c r="F50" s="2"/>
      <c r="H50" t="s">
        <v>81</v>
      </c>
      <c r="I50" t="s">
        <v>78</v>
      </c>
      <c r="K50" t="s">
        <v>79</v>
      </c>
      <c r="L50">
        <v>0.5</v>
      </c>
      <c r="M50">
        <f t="shared" si="2"/>
        <v>0.19634954084936207</v>
      </c>
      <c r="O50">
        <v>1</v>
      </c>
    </row>
    <row r="51" spans="1:15" x14ac:dyDescent="0.45">
      <c r="A51">
        <v>2</v>
      </c>
      <c r="B51" t="s">
        <v>82</v>
      </c>
      <c r="C51" t="str">
        <f t="shared" si="1"/>
        <v>AR2</v>
      </c>
      <c r="E51" s="19">
        <v>45812</v>
      </c>
      <c r="F51" s="2"/>
      <c r="H51" t="s">
        <v>81</v>
      </c>
      <c r="I51" t="s">
        <v>78</v>
      </c>
      <c r="K51" t="s">
        <v>79</v>
      </c>
      <c r="L51">
        <v>0.5</v>
      </c>
      <c r="M51">
        <f t="shared" si="2"/>
        <v>0.19634954084936207</v>
      </c>
    </row>
    <row r="52" spans="1:15" x14ac:dyDescent="0.45">
      <c r="A52">
        <v>2</v>
      </c>
      <c r="B52" t="s">
        <v>82</v>
      </c>
      <c r="C52" t="str">
        <f t="shared" si="1"/>
        <v>AR2</v>
      </c>
      <c r="E52" s="19">
        <v>45812</v>
      </c>
      <c r="F52" s="2"/>
      <c r="H52" t="s">
        <v>81</v>
      </c>
      <c r="I52" t="s">
        <v>78</v>
      </c>
      <c r="K52" t="s">
        <v>77</v>
      </c>
      <c r="L52">
        <v>1</v>
      </c>
      <c r="M52">
        <f t="shared" si="2"/>
        <v>0.52359877559829882</v>
      </c>
    </row>
    <row r="53" spans="1:15" x14ac:dyDescent="0.45">
      <c r="A53">
        <v>2</v>
      </c>
      <c r="B53" t="s">
        <v>82</v>
      </c>
      <c r="C53" t="str">
        <f t="shared" si="1"/>
        <v>AR2</v>
      </c>
      <c r="E53" s="19">
        <v>45812</v>
      </c>
      <c r="F53" s="2"/>
      <c r="H53" t="s">
        <v>81</v>
      </c>
      <c r="I53" t="s">
        <v>80</v>
      </c>
      <c r="K53" t="s">
        <v>77</v>
      </c>
      <c r="L53">
        <v>1.5</v>
      </c>
      <c r="M53">
        <f t="shared" si="2"/>
        <v>1.1780972450961724</v>
      </c>
    </row>
    <row r="54" spans="1:15" x14ac:dyDescent="0.45">
      <c r="A54">
        <v>3</v>
      </c>
      <c r="B54" t="s">
        <v>82</v>
      </c>
      <c r="C54" t="str">
        <f t="shared" si="1"/>
        <v>AR3</v>
      </c>
      <c r="E54" s="19">
        <v>45812</v>
      </c>
      <c r="F54" s="2"/>
      <c r="G54" t="s">
        <v>84</v>
      </c>
      <c r="H54" t="s">
        <v>75</v>
      </c>
      <c r="I54" t="s">
        <v>76</v>
      </c>
      <c r="K54" t="s">
        <v>79</v>
      </c>
      <c r="L54">
        <v>0.1</v>
      </c>
      <c r="M54">
        <f t="shared" si="2"/>
        <v>7.8539816339744835E-3</v>
      </c>
    </row>
    <row r="55" spans="1:15" x14ac:dyDescent="0.45">
      <c r="A55">
        <v>3</v>
      </c>
      <c r="B55" t="s">
        <v>82</v>
      </c>
      <c r="C55" t="str">
        <f t="shared" si="1"/>
        <v>AR3</v>
      </c>
      <c r="E55" s="19">
        <v>45812</v>
      </c>
      <c r="F55" s="2"/>
      <c r="G55" t="s">
        <v>84</v>
      </c>
      <c r="H55" t="s">
        <v>75</v>
      </c>
      <c r="I55" t="s">
        <v>78</v>
      </c>
      <c r="K55" t="s">
        <v>79</v>
      </c>
      <c r="L55">
        <v>0.3</v>
      </c>
      <c r="M55">
        <f t="shared" si="2"/>
        <v>7.0685834705770348E-2</v>
      </c>
    </row>
    <row r="56" spans="1:15" x14ac:dyDescent="0.45">
      <c r="A56">
        <v>3</v>
      </c>
      <c r="B56" t="s">
        <v>82</v>
      </c>
      <c r="C56" t="str">
        <f t="shared" si="1"/>
        <v>AR3</v>
      </c>
      <c r="E56" s="19">
        <v>45812</v>
      </c>
      <c r="F56" s="2"/>
      <c r="G56" t="s">
        <v>84</v>
      </c>
      <c r="H56" t="s">
        <v>75</v>
      </c>
      <c r="I56" t="s">
        <v>78</v>
      </c>
      <c r="K56" t="s">
        <v>79</v>
      </c>
      <c r="L56">
        <v>0.3</v>
      </c>
      <c r="M56">
        <f t="shared" si="2"/>
        <v>7.0685834705770348E-2</v>
      </c>
    </row>
    <row r="57" spans="1:15" x14ac:dyDescent="0.45">
      <c r="A57">
        <v>3</v>
      </c>
      <c r="B57" t="s">
        <v>82</v>
      </c>
      <c r="C57" t="str">
        <f t="shared" si="1"/>
        <v>AR3</v>
      </c>
      <c r="E57" s="19">
        <v>45812</v>
      </c>
      <c r="F57" s="2"/>
      <c r="G57" t="s">
        <v>84</v>
      </c>
      <c r="H57" t="s">
        <v>75</v>
      </c>
      <c r="I57" t="s">
        <v>80</v>
      </c>
      <c r="K57" t="s">
        <v>79</v>
      </c>
      <c r="L57">
        <v>0.1</v>
      </c>
      <c r="M57">
        <f t="shared" si="2"/>
        <v>7.8539816339744835E-3</v>
      </c>
    </row>
    <row r="58" spans="1:15" x14ac:dyDescent="0.45">
      <c r="A58">
        <v>3</v>
      </c>
      <c r="B58" t="s">
        <v>82</v>
      </c>
      <c r="C58" t="str">
        <f t="shared" si="1"/>
        <v>AR3</v>
      </c>
      <c r="E58" s="19">
        <v>45812</v>
      </c>
      <c r="F58" s="2"/>
      <c r="G58" t="s">
        <v>84</v>
      </c>
      <c r="H58" t="s">
        <v>75</v>
      </c>
      <c r="I58" t="s">
        <v>80</v>
      </c>
      <c r="K58" t="s">
        <v>79</v>
      </c>
      <c r="L58">
        <v>0.1</v>
      </c>
      <c r="M58">
        <f t="shared" si="2"/>
        <v>7.8539816339744835E-3</v>
      </c>
    </row>
    <row r="59" spans="1:15" x14ac:dyDescent="0.45">
      <c r="A59">
        <v>3</v>
      </c>
      <c r="B59" t="s">
        <v>82</v>
      </c>
      <c r="C59" t="str">
        <f t="shared" si="1"/>
        <v>AR3</v>
      </c>
      <c r="E59" s="19">
        <v>45812</v>
      </c>
      <c r="F59" s="2"/>
      <c r="G59" t="s">
        <v>84</v>
      </c>
      <c r="H59" t="s">
        <v>81</v>
      </c>
      <c r="I59" t="s">
        <v>76</v>
      </c>
      <c r="K59" t="s">
        <v>79</v>
      </c>
      <c r="L59">
        <v>0.8</v>
      </c>
      <c r="M59">
        <f t="shared" si="2"/>
        <v>0.50265482457436694</v>
      </c>
      <c r="O59">
        <v>1</v>
      </c>
    </row>
    <row r="60" spans="1:15" x14ac:dyDescent="0.45">
      <c r="A60">
        <v>3</v>
      </c>
      <c r="B60" t="s">
        <v>82</v>
      </c>
      <c r="C60" t="str">
        <f t="shared" si="1"/>
        <v>AR3</v>
      </c>
      <c r="E60" s="19">
        <v>45812</v>
      </c>
      <c r="F60" s="2"/>
      <c r="G60" t="s">
        <v>84</v>
      </c>
      <c r="H60" t="s">
        <v>81</v>
      </c>
      <c r="I60" t="s">
        <v>76</v>
      </c>
      <c r="K60" t="s">
        <v>79</v>
      </c>
      <c r="L60">
        <v>0.1</v>
      </c>
      <c r="M60">
        <f t="shared" si="2"/>
        <v>7.8539816339744835E-3</v>
      </c>
    </row>
    <row r="61" spans="1:15" x14ac:dyDescent="0.45">
      <c r="A61">
        <v>3</v>
      </c>
      <c r="B61" t="s">
        <v>82</v>
      </c>
      <c r="C61" t="str">
        <f t="shared" si="1"/>
        <v>AR3</v>
      </c>
      <c r="E61" s="19">
        <v>45812</v>
      </c>
      <c r="F61" s="2"/>
      <c r="G61" t="s">
        <v>84</v>
      </c>
      <c r="H61" t="s">
        <v>81</v>
      </c>
      <c r="I61" t="s">
        <v>76</v>
      </c>
      <c r="K61" t="s">
        <v>79</v>
      </c>
      <c r="L61">
        <v>0.1</v>
      </c>
      <c r="M61">
        <f t="shared" si="2"/>
        <v>7.8539816339744835E-3</v>
      </c>
    </row>
    <row r="62" spans="1:15" x14ac:dyDescent="0.45">
      <c r="A62">
        <v>3</v>
      </c>
      <c r="B62" t="s">
        <v>82</v>
      </c>
      <c r="C62" t="str">
        <f t="shared" si="1"/>
        <v>AR3</v>
      </c>
      <c r="E62" s="19">
        <v>45812</v>
      </c>
      <c r="F62" s="2"/>
      <c r="G62" t="s">
        <v>84</v>
      </c>
      <c r="H62" t="s">
        <v>81</v>
      </c>
      <c r="I62" t="s">
        <v>78</v>
      </c>
      <c r="K62" t="s">
        <v>79</v>
      </c>
      <c r="L62">
        <v>0.2</v>
      </c>
      <c r="M62">
        <f t="shared" si="2"/>
        <v>3.1415926535897934E-2</v>
      </c>
      <c r="O62">
        <v>5</v>
      </c>
    </row>
    <row r="63" spans="1:15" x14ac:dyDescent="0.45">
      <c r="A63">
        <v>3</v>
      </c>
      <c r="B63" t="s">
        <v>82</v>
      </c>
      <c r="C63" t="str">
        <f t="shared" si="1"/>
        <v>AR3</v>
      </c>
      <c r="E63" s="19">
        <v>45812</v>
      </c>
      <c r="F63" s="2"/>
      <c r="G63" t="s">
        <v>84</v>
      </c>
      <c r="H63" t="s">
        <v>81</v>
      </c>
      <c r="I63" t="s">
        <v>78</v>
      </c>
      <c r="K63" t="s">
        <v>77</v>
      </c>
      <c r="L63">
        <v>1.1000000000000001</v>
      </c>
      <c r="M63">
        <f t="shared" si="2"/>
        <v>0.63355451847394173</v>
      </c>
    </row>
    <row r="64" spans="1:15" x14ac:dyDescent="0.45">
      <c r="A64">
        <v>3</v>
      </c>
      <c r="B64" t="s">
        <v>82</v>
      </c>
      <c r="C64" t="str">
        <f t="shared" si="1"/>
        <v>AR3</v>
      </c>
      <c r="E64" s="19">
        <v>45812</v>
      </c>
      <c r="F64" s="2"/>
      <c r="G64" t="s">
        <v>84</v>
      </c>
      <c r="H64" t="s">
        <v>81</v>
      </c>
      <c r="I64" t="s">
        <v>80</v>
      </c>
      <c r="K64" t="s">
        <v>83</v>
      </c>
      <c r="M64" t="str">
        <f t="shared" si="2"/>
        <v/>
      </c>
    </row>
    <row r="65" spans="1:15" x14ac:dyDescent="0.45">
      <c r="A65">
        <v>4</v>
      </c>
      <c r="B65" t="s">
        <v>74</v>
      </c>
      <c r="C65" t="str">
        <f t="shared" si="1"/>
        <v>AW4</v>
      </c>
      <c r="E65" s="19">
        <v>45812</v>
      </c>
      <c r="F65" s="2"/>
      <c r="H65" t="s">
        <v>75</v>
      </c>
      <c r="I65" t="s">
        <v>76</v>
      </c>
      <c r="M65" t="str">
        <f t="shared" si="2"/>
        <v/>
      </c>
      <c r="O65">
        <v>1</v>
      </c>
    </row>
    <row r="66" spans="1:15" x14ac:dyDescent="0.45">
      <c r="A66">
        <v>4</v>
      </c>
      <c r="B66" t="s">
        <v>74</v>
      </c>
      <c r="C66" t="str">
        <f t="shared" si="1"/>
        <v>AW4</v>
      </c>
      <c r="E66" s="19">
        <v>45812</v>
      </c>
      <c r="F66" s="2"/>
      <c r="H66" t="s">
        <v>75</v>
      </c>
      <c r="I66" t="s">
        <v>78</v>
      </c>
      <c r="K66" t="s">
        <v>77</v>
      </c>
      <c r="L66">
        <v>1.2</v>
      </c>
      <c r="M66">
        <f t="shared" ref="M66:M97" si="3">IF(OR(L66="na", L66=""), "", IF(K66="mm", PI()*(L66/2)^2, IF(K66="ep", PI()*(L66/2)*(L66*(2/3)/2), "")))</f>
        <v>0.7539822368615503</v>
      </c>
      <c r="O66">
        <v>1</v>
      </c>
    </row>
    <row r="67" spans="1:15" x14ac:dyDescent="0.45">
      <c r="A67">
        <v>4</v>
      </c>
      <c r="B67" t="s">
        <v>74</v>
      </c>
      <c r="C67" t="str">
        <f t="shared" ref="C67:C130" si="4">"A" &amp; UPPER(LEFT(B67,1)) &amp; A67</f>
        <v>AW4</v>
      </c>
      <c r="E67" s="19">
        <v>45812</v>
      </c>
      <c r="F67" s="2"/>
      <c r="H67" t="s">
        <v>75</v>
      </c>
      <c r="I67" t="s">
        <v>78</v>
      </c>
      <c r="K67" t="s">
        <v>79</v>
      </c>
      <c r="L67">
        <v>1.3</v>
      </c>
      <c r="M67">
        <f t="shared" si="3"/>
        <v>1.3273228961416876</v>
      </c>
    </row>
    <row r="68" spans="1:15" x14ac:dyDescent="0.45">
      <c r="A68">
        <v>4</v>
      </c>
      <c r="B68" t="s">
        <v>74</v>
      </c>
      <c r="C68" t="str">
        <f t="shared" si="4"/>
        <v>AW4</v>
      </c>
      <c r="E68" s="19">
        <v>45812</v>
      </c>
      <c r="F68" s="2"/>
      <c r="H68" t="s">
        <v>75</v>
      </c>
      <c r="I68" t="s">
        <v>78</v>
      </c>
      <c r="K68" t="s">
        <v>79</v>
      </c>
      <c r="L68">
        <v>0.2</v>
      </c>
      <c r="M68">
        <f t="shared" si="3"/>
        <v>3.1415926535897934E-2</v>
      </c>
    </row>
    <row r="69" spans="1:15" x14ac:dyDescent="0.45">
      <c r="A69">
        <v>4</v>
      </c>
      <c r="B69" t="s">
        <v>74</v>
      </c>
      <c r="C69" t="str">
        <f t="shared" si="4"/>
        <v>AW4</v>
      </c>
      <c r="E69" s="19">
        <v>45812</v>
      </c>
      <c r="F69" s="2"/>
      <c r="H69" t="s">
        <v>75</v>
      </c>
      <c r="I69" t="s">
        <v>78</v>
      </c>
      <c r="K69" t="s">
        <v>79</v>
      </c>
      <c r="L69">
        <v>0.1</v>
      </c>
      <c r="M69">
        <f t="shared" si="3"/>
        <v>7.8539816339744835E-3</v>
      </c>
    </row>
    <row r="70" spans="1:15" x14ac:dyDescent="0.45">
      <c r="A70">
        <v>4</v>
      </c>
      <c r="B70" t="s">
        <v>74</v>
      </c>
      <c r="C70" t="str">
        <f t="shared" si="4"/>
        <v>AW4</v>
      </c>
      <c r="E70" s="19">
        <v>45812</v>
      </c>
      <c r="F70" s="2"/>
      <c r="H70" t="s">
        <v>75</v>
      </c>
      <c r="I70" t="s">
        <v>80</v>
      </c>
      <c r="K70" t="s">
        <v>79</v>
      </c>
      <c r="L70">
        <v>0.2</v>
      </c>
      <c r="M70">
        <f t="shared" si="3"/>
        <v>3.1415926535897934E-2</v>
      </c>
    </row>
    <row r="71" spans="1:15" x14ac:dyDescent="0.45">
      <c r="A71">
        <v>4</v>
      </c>
      <c r="B71" t="s">
        <v>74</v>
      </c>
      <c r="C71" t="str">
        <f t="shared" si="4"/>
        <v>AW4</v>
      </c>
      <c r="E71" s="19">
        <v>45812</v>
      </c>
      <c r="F71" s="2"/>
      <c r="H71" t="s">
        <v>81</v>
      </c>
      <c r="I71" t="s">
        <v>76</v>
      </c>
      <c r="K71" t="s">
        <v>83</v>
      </c>
      <c r="M71" t="str">
        <f t="shared" si="3"/>
        <v/>
      </c>
    </row>
    <row r="72" spans="1:15" x14ac:dyDescent="0.45">
      <c r="A72">
        <v>4</v>
      </c>
      <c r="B72" t="s">
        <v>74</v>
      </c>
      <c r="C72" t="str">
        <f t="shared" si="4"/>
        <v>AW4</v>
      </c>
      <c r="E72" s="19">
        <v>45812</v>
      </c>
      <c r="F72" s="2"/>
      <c r="H72" t="s">
        <v>81</v>
      </c>
      <c r="I72" t="s">
        <v>78</v>
      </c>
      <c r="K72" t="s">
        <v>79</v>
      </c>
      <c r="L72">
        <v>0.4</v>
      </c>
      <c r="M72">
        <f t="shared" si="3"/>
        <v>0.12566370614359174</v>
      </c>
    </row>
    <row r="73" spans="1:15" x14ac:dyDescent="0.45">
      <c r="A73">
        <v>4</v>
      </c>
      <c r="B73" t="s">
        <v>74</v>
      </c>
      <c r="C73" t="str">
        <f t="shared" si="4"/>
        <v>AW4</v>
      </c>
      <c r="E73" s="19">
        <v>45812</v>
      </c>
      <c r="F73" s="2"/>
      <c r="H73" t="s">
        <v>81</v>
      </c>
      <c r="I73" t="s">
        <v>80</v>
      </c>
      <c r="K73" t="s">
        <v>83</v>
      </c>
      <c r="M73" t="str">
        <f t="shared" si="3"/>
        <v/>
      </c>
    </row>
    <row r="74" spans="1:15" x14ac:dyDescent="0.45">
      <c r="A74">
        <v>4</v>
      </c>
      <c r="B74" t="s">
        <v>74</v>
      </c>
      <c r="C74" t="str">
        <f t="shared" si="4"/>
        <v>AW4</v>
      </c>
      <c r="E74" s="19">
        <v>45812</v>
      </c>
      <c r="F74" s="2"/>
      <c r="H74" t="s">
        <v>75</v>
      </c>
      <c r="I74" t="s">
        <v>76</v>
      </c>
      <c r="K74" t="s">
        <v>83</v>
      </c>
      <c r="M74" t="str">
        <f t="shared" si="3"/>
        <v/>
      </c>
    </row>
    <row r="75" spans="1:15" x14ac:dyDescent="0.45">
      <c r="A75">
        <v>4</v>
      </c>
      <c r="B75" t="s">
        <v>74</v>
      </c>
      <c r="C75" t="str">
        <f t="shared" si="4"/>
        <v>AW4</v>
      </c>
      <c r="E75" s="19">
        <v>45812</v>
      </c>
      <c r="F75" s="2"/>
      <c r="H75" t="s">
        <v>75</v>
      </c>
      <c r="I75" t="s">
        <v>78</v>
      </c>
      <c r="K75" t="s">
        <v>79</v>
      </c>
      <c r="L75">
        <v>0.5</v>
      </c>
      <c r="M75">
        <f t="shared" si="3"/>
        <v>0.19634954084936207</v>
      </c>
    </row>
    <row r="76" spans="1:15" x14ac:dyDescent="0.45">
      <c r="A76">
        <v>4</v>
      </c>
      <c r="B76" t="s">
        <v>74</v>
      </c>
      <c r="C76" t="str">
        <f t="shared" si="4"/>
        <v>AW4</v>
      </c>
      <c r="E76" s="19">
        <v>45812</v>
      </c>
      <c r="F76" s="2"/>
      <c r="H76" t="s">
        <v>75</v>
      </c>
      <c r="I76" t="s">
        <v>78</v>
      </c>
      <c r="K76" t="s">
        <v>79</v>
      </c>
      <c r="L76">
        <v>0.1</v>
      </c>
      <c r="M76">
        <f t="shared" si="3"/>
        <v>7.8539816339744835E-3</v>
      </c>
    </row>
    <row r="77" spans="1:15" x14ac:dyDescent="0.45">
      <c r="A77">
        <v>4</v>
      </c>
      <c r="B77" t="s">
        <v>74</v>
      </c>
      <c r="C77" t="str">
        <f t="shared" si="4"/>
        <v>AW4</v>
      </c>
      <c r="E77" s="19">
        <v>45812</v>
      </c>
      <c r="F77" s="2"/>
      <c r="H77" t="s">
        <v>75</v>
      </c>
      <c r="I77" t="s">
        <v>80</v>
      </c>
      <c r="K77" t="s">
        <v>79</v>
      </c>
      <c r="L77">
        <v>0.3</v>
      </c>
      <c r="M77">
        <f t="shared" si="3"/>
        <v>7.0685834705770348E-2</v>
      </c>
    </row>
    <row r="78" spans="1:15" x14ac:dyDescent="0.45">
      <c r="A78">
        <v>4</v>
      </c>
      <c r="B78" t="s">
        <v>74</v>
      </c>
      <c r="C78" t="str">
        <f t="shared" si="4"/>
        <v>AW4</v>
      </c>
      <c r="E78" s="19">
        <v>45812</v>
      </c>
      <c r="F78" s="2"/>
      <c r="H78" t="s">
        <v>75</v>
      </c>
      <c r="I78" t="s">
        <v>80</v>
      </c>
      <c r="K78" t="s">
        <v>79</v>
      </c>
      <c r="L78">
        <v>0.1</v>
      </c>
      <c r="M78">
        <f t="shared" si="3"/>
        <v>7.8539816339744835E-3</v>
      </c>
    </row>
    <row r="79" spans="1:15" x14ac:dyDescent="0.45">
      <c r="A79">
        <v>4</v>
      </c>
      <c r="B79" t="s">
        <v>74</v>
      </c>
      <c r="C79" t="str">
        <f t="shared" si="4"/>
        <v>AW4</v>
      </c>
      <c r="E79" s="19">
        <v>45812</v>
      </c>
      <c r="F79" s="2"/>
      <c r="H79" t="s">
        <v>81</v>
      </c>
      <c r="I79" t="s">
        <v>76</v>
      </c>
      <c r="K79" t="s">
        <v>83</v>
      </c>
      <c r="M79" t="str">
        <f t="shared" si="3"/>
        <v/>
      </c>
    </row>
    <row r="80" spans="1:15" x14ac:dyDescent="0.45">
      <c r="A80">
        <v>4</v>
      </c>
      <c r="B80" t="s">
        <v>74</v>
      </c>
      <c r="C80" t="str">
        <f t="shared" si="4"/>
        <v>AW4</v>
      </c>
      <c r="E80" s="19">
        <v>45812</v>
      </c>
      <c r="F80" s="2"/>
      <c r="H80" t="s">
        <v>81</v>
      </c>
      <c r="I80" t="s">
        <v>78</v>
      </c>
      <c r="K80" t="s">
        <v>83</v>
      </c>
      <c r="M80" t="str">
        <f t="shared" si="3"/>
        <v/>
      </c>
    </row>
    <row r="81" spans="1:15" x14ac:dyDescent="0.45">
      <c r="A81">
        <v>4</v>
      </c>
      <c r="B81" t="s">
        <v>74</v>
      </c>
      <c r="C81" t="str">
        <f t="shared" si="4"/>
        <v>AW4</v>
      </c>
      <c r="E81" s="19">
        <v>45812</v>
      </c>
      <c r="F81" s="2"/>
      <c r="H81" t="s">
        <v>81</v>
      </c>
      <c r="I81" t="s">
        <v>80</v>
      </c>
      <c r="K81" t="s">
        <v>77</v>
      </c>
      <c r="L81">
        <v>0.3</v>
      </c>
      <c r="M81">
        <f t="shared" si="3"/>
        <v>4.7123889803846894E-2</v>
      </c>
    </row>
    <row r="82" spans="1:15" x14ac:dyDescent="0.45">
      <c r="A82">
        <v>4</v>
      </c>
      <c r="B82" t="s">
        <v>82</v>
      </c>
      <c r="C82" t="str">
        <f t="shared" si="4"/>
        <v>AR4</v>
      </c>
      <c r="E82" s="19">
        <v>45812</v>
      </c>
      <c r="F82" s="2"/>
      <c r="H82" t="s">
        <v>75</v>
      </c>
      <c r="I82" t="s">
        <v>76</v>
      </c>
      <c r="K82" t="s">
        <v>83</v>
      </c>
      <c r="M82" t="str">
        <f t="shared" si="3"/>
        <v/>
      </c>
    </row>
    <row r="83" spans="1:15" x14ac:dyDescent="0.45">
      <c r="A83">
        <v>4</v>
      </c>
      <c r="B83" t="s">
        <v>82</v>
      </c>
      <c r="C83" t="str">
        <f t="shared" si="4"/>
        <v>AR4</v>
      </c>
      <c r="E83" s="19">
        <v>45812</v>
      </c>
      <c r="F83" s="2"/>
      <c r="H83" t="s">
        <v>75</v>
      </c>
      <c r="I83" t="s">
        <v>78</v>
      </c>
      <c r="K83" t="s">
        <v>79</v>
      </c>
      <c r="L83">
        <v>2</v>
      </c>
      <c r="M83">
        <f t="shared" si="3"/>
        <v>3.1415926535897931</v>
      </c>
    </row>
    <row r="84" spans="1:15" x14ac:dyDescent="0.45">
      <c r="A84">
        <v>4</v>
      </c>
      <c r="B84" t="s">
        <v>82</v>
      </c>
      <c r="C84" t="str">
        <f t="shared" si="4"/>
        <v>AR4</v>
      </c>
      <c r="E84" s="19">
        <v>45812</v>
      </c>
      <c r="F84" s="2"/>
      <c r="H84" t="s">
        <v>75</v>
      </c>
      <c r="I84" t="s">
        <v>80</v>
      </c>
      <c r="K84" t="s">
        <v>79</v>
      </c>
      <c r="L84">
        <v>1.5</v>
      </c>
      <c r="M84">
        <f t="shared" si="3"/>
        <v>1.7671458676442586</v>
      </c>
    </row>
    <row r="85" spans="1:15" x14ac:dyDescent="0.45">
      <c r="A85">
        <v>4</v>
      </c>
      <c r="B85" t="s">
        <v>82</v>
      </c>
      <c r="C85" t="str">
        <f t="shared" si="4"/>
        <v>AR4</v>
      </c>
      <c r="E85" s="19">
        <v>45812</v>
      </c>
      <c r="F85" s="2"/>
      <c r="H85" t="s">
        <v>81</v>
      </c>
      <c r="I85" t="s">
        <v>76</v>
      </c>
      <c r="K85" t="s">
        <v>79</v>
      </c>
      <c r="L85">
        <v>1</v>
      </c>
      <c r="M85">
        <f t="shared" si="3"/>
        <v>0.78539816339744828</v>
      </c>
    </row>
    <row r="86" spans="1:15" x14ac:dyDescent="0.45">
      <c r="A86">
        <v>4</v>
      </c>
      <c r="B86" t="s">
        <v>82</v>
      </c>
      <c r="C86" t="str">
        <f t="shared" si="4"/>
        <v>AR4</v>
      </c>
      <c r="E86" s="19">
        <v>45812</v>
      </c>
      <c r="F86" s="2"/>
      <c r="H86" t="s">
        <v>81</v>
      </c>
      <c r="I86" t="s">
        <v>78</v>
      </c>
      <c r="K86" t="s">
        <v>79</v>
      </c>
      <c r="M86" t="str">
        <f t="shared" si="3"/>
        <v/>
      </c>
      <c r="O86">
        <v>1</v>
      </c>
    </row>
    <row r="87" spans="1:15" x14ac:dyDescent="0.45">
      <c r="A87">
        <v>4</v>
      </c>
      <c r="B87" t="s">
        <v>82</v>
      </c>
      <c r="C87" t="str">
        <f t="shared" si="4"/>
        <v>AR4</v>
      </c>
      <c r="E87" s="19">
        <v>45812</v>
      </c>
      <c r="F87" s="2"/>
      <c r="H87" t="s">
        <v>81</v>
      </c>
      <c r="I87" t="s">
        <v>80</v>
      </c>
      <c r="K87" t="s">
        <v>83</v>
      </c>
      <c r="M87" t="str">
        <f t="shared" si="3"/>
        <v/>
      </c>
    </row>
    <row r="88" spans="1:15" x14ac:dyDescent="0.45">
      <c r="A88">
        <v>5</v>
      </c>
      <c r="B88" t="s">
        <v>74</v>
      </c>
      <c r="C88" t="str">
        <f t="shared" si="4"/>
        <v>AW5</v>
      </c>
      <c r="E88" s="19">
        <v>45812</v>
      </c>
      <c r="F88" s="2"/>
      <c r="G88" t="s">
        <v>85</v>
      </c>
      <c r="H88" t="s">
        <v>75</v>
      </c>
      <c r="I88" t="s">
        <v>76</v>
      </c>
      <c r="K88" t="s">
        <v>83</v>
      </c>
      <c r="M88" t="str">
        <f t="shared" si="3"/>
        <v/>
      </c>
    </row>
    <row r="89" spans="1:15" x14ac:dyDescent="0.45">
      <c r="A89">
        <v>5</v>
      </c>
      <c r="B89" t="s">
        <v>74</v>
      </c>
      <c r="C89" t="str">
        <f t="shared" si="4"/>
        <v>AW5</v>
      </c>
      <c r="E89" s="19">
        <v>45812</v>
      </c>
      <c r="F89" s="2"/>
      <c r="G89" t="s">
        <v>85</v>
      </c>
      <c r="H89" t="s">
        <v>75</v>
      </c>
      <c r="I89" t="s">
        <v>78</v>
      </c>
      <c r="K89" t="s">
        <v>79</v>
      </c>
      <c r="L89">
        <v>0.4</v>
      </c>
      <c r="M89">
        <f t="shared" si="3"/>
        <v>0.12566370614359174</v>
      </c>
    </row>
    <row r="90" spans="1:15" x14ac:dyDescent="0.45">
      <c r="A90">
        <v>5</v>
      </c>
      <c r="B90" t="s">
        <v>74</v>
      </c>
      <c r="C90" t="str">
        <f t="shared" si="4"/>
        <v>AW5</v>
      </c>
      <c r="E90" s="19">
        <v>45812</v>
      </c>
      <c r="F90" s="2"/>
      <c r="G90" t="s">
        <v>85</v>
      </c>
      <c r="H90" t="s">
        <v>75</v>
      </c>
      <c r="I90" t="s">
        <v>78</v>
      </c>
      <c r="K90" t="s">
        <v>79</v>
      </c>
      <c r="L90">
        <v>0.2</v>
      </c>
      <c r="M90">
        <f t="shared" si="3"/>
        <v>3.1415926535897934E-2</v>
      </c>
    </row>
    <row r="91" spans="1:15" x14ac:dyDescent="0.45">
      <c r="A91">
        <v>5</v>
      </c>
      <c r="B91" t="s">
        <v>74</v>
      </c>
      <c r="C91" t="str">
        <f t="shared" si="4"/>
        <v>AW5</v>
      </c>
      <c r="E91" s="19">
        <v>45812</v>
      </c>
      <c r="F91" s="2"/>
      <c r="G91" t="s">
        <v>85</v>
      </c>
      <c r="H91" t="s">
        <v>75</v>
      </c>
      <c r="I91" t="s">
        <v>80</v>
      </c>
      <c r="K91" t="s">
        <v>79</v>
      </c>
      <c r="L91">
        <v>0.4</v>
      </c>
      <c r="M91">
        <f t="shared" si="3"/>
        <v>0.12566370614359174</v>
      </c>
    </row>
    <row r="92" spans="1:15" x14ac:dyDescent="0.45">
      <c r="A92">
        <v>5</v>
      </c>
      <c r="B92" t="s">
        <v>74</v>
      </c>
      <c r="C92" t="str">
        <f t="shared" si="4"/>
        <v>AW5</v>
      </c>
      <c r="E92" s="19">
        <v>45812</v>
      </c>
      <c r="F92" s="2"/>
      <c r="G92" t="s">
        <v>85</v>
      </c>
      <c r="H92" t="s">
        <v>75</v>
      </c>
      <c r="I92" t="s">
        <v>80</v>
      </c>
      <c r="K92" t="s">
        <v>79</v>
      </c>
      <c r="L92">
        <v>0.2</v>
      </c>
      <c r="M92">
        <f t="shared" si="3"/>
        <v>3.1415926535897934E-2</v>
      </c>
    </row>
    <row r="93" spans="1:15" x14ac:dyDescent="0.45">
      <c r="A93">
        <v>5</v>
      </c>
      <c r="B93" t="s">
        <v>74</v>
      </c>
      <c r="C93" t="str">
        <f t="shared" si="4"/>
        <v>AW5</v>
      </c>
      <c r="E93" s="19">
        <v>45812</v>
      </c>
      <c r="F93" s="2"/>
      <c r="G93" t="s">
        <v>85</v>
      </c>
      <c r="H93" t="s">
        <v>81</v>
      </c>
      <c r="I93" t="s">
        <v>76</v>
      </c>
      <c r="K93" t="s">
        <v>83</v>
      </c>
      <c r="M93" t="str">
        <f t="shared" si="3"/>
        <v/>
      </c>
    </row>
    <row r="94" spans="1:15" x14ac:dyDescent="0.45">
      <c r="A94">
        <v>5</v>
      </c>
      <c r="B94" t="s">
        <v>74</v>
      </c>
      <c r="C94" t="str">
        <f t="shared" si="4"/>
        <v>AW5</v>
      </c>
      <c r="E94" s="19">
        <v>45812</v>
      </c>
      <c r="F94" s="2"/>
      <c r="G94" t="s">
        <v>85</v>
      </c>
      <c r="H94" t="s">
        <v>81</v>
      </c>
      <c r="I94" t="s">
        <v>78</v>
      </c>
      <c r="K94" t="s">
        <v>79</v>
      </c>
      <c r="L94">
        <v>1.2</v>
      </c>
      <c r="M94">
        <f t="shared" si="3"/>
        <v>1.1309733552923256</v>
      </c>
      <c r="N94">
        <v>1</v>
      </c>
    </row>
    <row r="95" spans="1:15" x14ac:dyDescent="0.45">
      <c r="A95">
        <v>5</v>
      </c>
      <c r="B95" t="s">
        <v>74</v>
      </c>
      <c r="C95" t="str">
        <f t="shared" si="4"/>
        <v>AW5</v>
      </c>
      <c r="E95" s="19">
        <v>45812</v>
      </c>
      <c r="F95" s="2"/>
      <c r="G95" t="s">
        <v>85</v>
      </c>
      <c r="H95" t="s">
        <v>81</v>
      </c>
      <c r="I95" t="s">
        <v>78</v>
      </c>
      <c r="K95" t="s">
        <v>79</v>
      </c>
      <c r="L95">
        <v>0.3</v>
      </c>
      <c r="M95">
        <f t="shared" si="3"/>
        <v>7.0685834705770348E-2</v>
      </c>
    </row>
    <row r="96" spans="1:15" x14ac:dyDescent="0.45">
      <c r="A96">
        <v>5</v>
      </c>
      <c r="B96" t="s">
        <v>74</v>
      </c>
      <c r="C96" t="str">
        <f t="shared" si="4"/>
        <v>AW5</v>
      </c>
      <c r="E96" s="19">
        <v>45812</v>
      </c>
      <c r="F96" s="2"/>
      <c r="G96" t="s">
        <v>85</v>
      </c>
      <c r="H96" t="s">
        <v>81</v>
      </c>
      <c r="I96" t="s">
        <v>80</v>
      </c>
      <c r="K96" t="s">
        <v>79</v>
      </c>
      <c r="L96">
        <v>1</v>
      </c>
      <c r="M96">
        <f t="shared" si="3"/>
        <v>0.78539816339744828</v>
      </c>
    </row>
    <row r="97" spans="1:15" x14ac:dyDescent="0.45">
      <c r="A97">
        <v>5</v>
      </c>
      <c r="B97" t="s">
        <v>82</v>
      </c>
      <c r="C97" t="str">
        <f t="shared" si="4"/>
        <v>AR5</v>
      </c>
      <c r="E97" s="19">
        <v>45812</v>
      </c>
      <c r="F97" s="2"/>
      <c r="H97" t="s">
        <v>75</v>
      </c>
      <c r="I97" t="s">
        <v>76</v>
      </c>
      <c r="M97" t="str">
        <f t="shared" si="3"/>
        <v/>
      </c>
      <c r="O97">
        <v>1</v>
      </c>
    </row>
    <row r="98" spans="1:15" x14ac:dyDescent="0.45">
      <c r="A98">
        <v>5</v>
      </c>
      <c r="B98" t="s">
        <v>82</v>
      </c>
      <c r="C98" t="str">
        <f t="shared" si="4"/>
        <v>AR5</v>
      </c>
      <c r="E98" s="19">
        <v>45812</v>
      </c>
      <c r="F98" s="2"/>
      <c r="H98" t="s">
        <v>75</v>
      </c>
      <c r="I98" t="s">
        <v>78</v>
      </c>
      <c r="K98" t="s">
        <v>83</v>
      </c>
      <c r="M98" t="str">
        <f t="shared" ref="M98:M129" si="5">IF(OR(L98="na", L98=""), "", IF(K98="mm", PI()*(L98/2)^2, IF(K98="ep", PI()*(L98/2)*(L98*(2/3)/2), "")))</f>
        <v/>
      </c>
    </row>
    <row r="99" spans="1:15" x14ac:dyDescent="0.45">
      <c r="A99">
        <v>5</v>
      </c>
      <c r="B99" t="s">
        <v>82</v>
      </c>
      <c r="C99" t="str">
        <f t="shared" si="4"/>
        <v>AR5</v>
      </c>
      <c r="E99" s="19">
        <v>45812</v>
      </c>
      <c r="F99" s="2"/>
      <c r="H99" t="s">
        <v>75</v>
      </c>
      <c r="I99" t="s">
        <v>80</v>
      </c>
      <c r="K99" t="s">
        <v>83</v>
      </c>
      <c r="M99" t="str">
        <f t="shared" si="5"/>
        <v/>
      </c>
    </row>
    <row r="100" spans="1:15" x14ac:dyDescent="0.45">
      <c r="A100">
        <v>5</v>
      </c>
      <c r="B100" t="s">
        <v>82</v>
      </c>
      <c r="C100" t="str">
        <f t="shared" si="4"/>
        <v>AR5</v>
      </c>
      <c r="E100" s="19">
        <v>45812</v>
      </c>
      <c r="F100" s="2"/>
      <c r="H100" t="s">
        <v>81</v>
      </c>
      <c r="I100" t="s">
        <v>76</v>
      </c>
      <c r="K100" t="s">
        <v>83</v>
      </c>
      <c r="M100" t="str">
        <f t="shared" si="5"/>
        <v/>
      </c>
    </row>
    <row r="101" spans="1:15" x14ac:dyDescent="0.45">
      <c r="A101">
        <v>5</v>
      </c>
      <c r="B101" t="s">
        <v>82</v>
      </c>
      <c r="C101" t="str">
        <f t="shared" si="4"/>
        <v>AR5</v>
      </c>
      <c r="E101" s="19">
        <v>45812</v>
      </c>
      <c r="F101" s="2"/>
      <c r="H101" t="s">
        <v>81</v>
      </c>
      <c r="I101" t="s">
        <v>78</v>
      </c>
      <c r="K101" t="s">
        <v>77</v>
      </c>
      <c r="L101">
        <v>3</v>
      </c>
      <c r="M101">
        <f t="shared" si="5"/>
        <v>4.7123889803846897</v>
      </c>
    </row>
    <row r="102" spans="1:15" x14ac:dyDescent="0.45">
      <c r="A102">
        <v>5</v>
      </c>
      <c r="B102" t="s">
        <v>82</v>
      </c>
      <c r="C102" t="str">
        <f t="shared" si="4"/>
        <v>AR5</v>
      </c>
      <c r="E102" s="19">
        <v>45812</v>
      </c>
      <c r="F102" s="2"/>
      <c r="H102" t="s">
        <v>81</v>
      </c>
      <c r="I102" t="s">
        <v>80</v>
      </c>
      <c r="K102" t="s">
        <v>83</v>
      </c>
      <c r="M102" t="str">
        <f t="shared" si="5"/>
        <v/>
      </c>
      <c r="O102">
        <v>1</v>
      </c>
    </row>
    <row r="103" spans="1:15" x14ac:dyDescent="0.45">
      <c r="A103">
        <v>6</v>
      </c>
      <c r="B103" t="s">
        <v>82</v>
      </c>
      <c r="C103" t="str">
        <f t="shared" si="4"/>
        <v>AR6</v>
      </c>
      <c r="E103" s="19">
        <v>45812</v>
      </c>
      <c r="F103" s="2"/>
      <c r="H103" t="s">
        <v>75</v>
      </c>
      <c r="I103" t="s">
        <v>76</v>
      </c>
      <c r="K103" t="s">
        <v>83</v>
      </c>
      <c r="M103" t="str">
        <f t="shared" si="5"/>
        <v/>
      </c>
    </row>
    <row r="104" spans="1:15" x14ac:dyDescent="0.45">
      <c r="A104">
        <v>6</v>
      </c>
      <c r="B104" t="s">
        <v>82</v>
      </c>
      <c r="C104" t="str">
        <f t="shared" si="4"/>
        <v>AR6</v>
      </c>
      <c r="E104" s="19">
        <v>45812</v>
      </c>
      <c r="F104" s="2"/>
      <c r="H104" t="s">
        <v>75</v>
      </c>
      <c r="I104" t="s">
        <v>78</v>
      </c>
      <c r="K104" t="s">
        <v>79</v>
      </c>
      <c r="L104">
        <v>0.2</v>
      </c>
      <c r="M104">
        <f t="shared" si="5"/>
        <v>3.1415926535897934E-2</v>
      </c>
      <c r="N104">
        <v>3</v>
      </c>
      <c r="O104">
        <v>1</v>
      </c>
    </row>
    <row r="105" spans="1:15" x14ac:dyDescent="0.45">
      <c r="A105">
        <v>6</v>
      </c>
      <c r="B105" t="s">
        <v>82</v>
      </c>
      <c r="C105" t="str">
        <f t="shared" si="4"/>
        <v>AR6</v>
      </c>
      <c r="E105" s="19">
        <v>45812</v>
      </c>
      <c r="F105" s="2"/>
      <c r="H105" t="s">
        <v>75</v>
      </c>
      <c r="I105" t="s">
        <v>78</v>
      </c>
      <c r="K105" t="s">
        <v>77</v>
      </c>
      <c r="L105">
        <v>1.3</v>
      </c>
      <c r="M105">
        <f t="shared" si="5"/>
        <v>0.88488193076112509</v>
      </c>
    </row>
    <row r="106" spans="1:15" x14ac:dyDescent="0.45">
      <c r="A106">
        <v>6</v>
      </c>
      <c r="B106" t="s">
        <v>82</v>
      </c>
      <c r="C106" t="str">
        <f t="shared" si="4"/>
        <v>AR6</v>
      </c>
      <c r="E106" s="19">
        <v>45812</v>
      </c>
      <c r="F106" s="2"/>
      <c r="H106" t="s">
        <v>75</v>
      </c>
      <c r="I106" t="s">
        <v>80</v>
      </c>
      <c r="K106" t="s">
        <v>83</v>
      </c>
      <c r="M106" t="str">
        <f t="shared" si="5"/>
        <v/>
      </c>
    </row>
    <row r="107" spans="1:15" x14ac:dyDescent="0.45">
      <c r="A107">
        <v>6</v>
      </c>
      <c r="B107" t="s">
        <v>82</v>
      </c>
      <c r="C107" t="str">
        <f t="shared" si="4"/>
        <v>AR6</v>
      </c>
      <c r="E107" s="19">
        <v>45812</v>
      </c>
      <c r="F107" s="2"/>
      <c r="H107" t="s">
        <v>81</v>
      </c>
      <c r="I107" t="s">
        <v>76</v>
      </c>
      <c r="K107" t="s">
        <v>79</v>
      </c>
      <c r="L107">
        <v>1.8</v>
      </c>
      <c r="M107">
        <f t="shared" si="5"/>
        <v>2.5446900494077327</v>
      </c>
      <c r="O107">
        <v>1</v>
      </c>
    </row>
    <row r="108" spans="1:15" x14ac:dyDescent="0.45">
      <c r="A108">
        <v>6</v>
      </c>
      <c r="B108" t="s">
        <v>82</v>
      </c>
      <c r="C108" t="str">
        <f t="shared" si="4"/>
        <v>AR6</v>
      </c>
      <c r="E108" s="19">
        <v>45812</v>
      </c>
      <c r="F108" s="2"/>
      <c r="H108" t="s">
        <v>81</v>
      </c>
      <c r="I108" t="s">
        <v>78</v>
      </c>
      <c r="K108" t="s">
        <v>79</v>
      </c>
      <c r="L108">
        <v>1.2</v>
      </c>
      <c r="M108">
        <f t="shared" si="5"/>
        <v>1.1309733552923256</v>
      </c>
      <c r="N108">
        <v>4</v>
      </c>
      <c r="O108">
        <v>1</v>
      </c>
    </row>
    <row r="109" spans="1:15" x14ac:dyDescent="0.45">
      <c r="A109">
        <v>6</v>
      </c>
      <c r="B109" t="s">
        <v>82</v>
      </c>
      <c r="C109" t="str">
        <f t="shared" si="4"/>
        <v>AR6</v>
      </c>
      <c r="E109" s="19">
        <v>45812</v>
      </c>
      <c r="F109" s="2"/>
      <c r="H109" t="s">
        <v>81</v>
      </c>
      <c r="I109" t="s">
        <v>78</v>
      </c>
      <c r="K109" t="s">
        <v>79</v>
      </c>
      <c r="L109">
        <v>1.2</v>
      </c>
      <c r="M109">
        <f t="shared" si="5"/>
        <v>1.1309733552923256</v>
      </c>
    </row>
    <row r="110" spans="1:15" x14ac:dyDescent="0.45">
      <c r="A110">
        <v>6</v>
      </c>
      <c r="B110" t="s">
        <v>82</v>
      </c>
      <c r="C110" t="str">
        <f t="shared" si="4"/>
        <v>AR6</v>
      </c>
      <c r="E110" s="19">
        <v>45812</v>
      </c>
      <c r="F110" s="2"/>
      <c r="H110" t="s">
        <v>81</v>
      </c>
      <c r="I110" t="s">
        <v>78</v>
      </c>
      <c r="K110" t="s">
        <v>79</v>
      </c>
      <c r="L110">
        <v>1.2</v>
      </c>
      <c r="M110">
        <f t="shared" si="5"/>
        <v>1.1309733552923256</v>
      </c>
    </row>
    <row r="111" spans="1:15" x14ac:dyDescent="0.45">
      <c r="A111">
        <v>6</v>
      </c>
      <c r="B111" t="s">
        <v>82</v>
      </c>
      <c r="C111" t="str">
        <f t="shared" si="4"/>
        <v>AR6</v>
      </c>
      <c r="E111" s="19">
        <v>45812</v>
      </c>
      <c r="F111" s="2"/>
      <c r="H111" t="s">
        <v>81</v>
      </c>
      <c r="I111" t="s">
        <v>80</v>
      </c>
      <c r="K111" t="s">
        <v>83</v>
      </c>
      <c r="M111" t="str">
        <f t="shared" si="5"/>
        <v/>
      </c>
    </row>
    <row r="112" spans="1:15" x14ac:dyDescent="0.45">
      <c r="A112">
        <v>6</v>
      </c>
      <c r="B112" t="s">
        <v>74</v>
      </c>
      <c r="C112" t="str">
        <f t="shared" si="4"/>
        <v>AW6</v>
      </c>
      <c r="E112" s="19">
        <v>45812</v>
      </c>
      <c r="F112" s="2"/>
      <c r="H112" t="s">
        <v>75</v>
      </c>
      <c r="I112" t="s">
        <v>76</v>
      </c>
      <c r="K112" t="s">
        <v>83</v>
      </c>
      <c r="M112" t="str">
        <f t="shared" si="5"/>
        <v/>
      </c>
    </row>
    <row r="113" spans="1:15" x14ac:dyDescent="0.45">
      <c r="A113">
        <v>6</v>
      </c>
      <c r="B113" t="s">
        <v>74</v>
      </c>
      <c r="C113" t="str">
        <f t="shared" si="4"/>
        <v>AW6</v>
      </c>
      <c r="E113" s="19">
        <v>45812</v>
      </c>
      <c r="F113" s="2"/>
      <c r="H113" t="s">
        <v>75</v>
      </c>
      <c r="I113" t="s">
        <v>78</v>
      </c>
      <c r="K113" t="s">
        <v>83</v>
      </c>
      <c r="M113" t="str">
        <f t="shared" si="5"/>
        <v/>
      </c>
    </row>
    <row r="114" spans="1:15" x14ac:dyDescent="0.45">
      <c r="A114">
        <v>6</v>
      </c>
      <c r="B114" t="s">
        <v>74</v>
      </c>
      <c r="C114" t="str">
        <f t="shared" si="4"/>
        <v>AW6</v>
      </c>
      <c r="E114" s="19">
        <v>45812</v>
      </c>
      <c r="F114" s="2"/>
      <c r="H114" t="s">
        <v>75</v>
      </c>
      <c r="I114" t="s">
        <v>80</v>
      </c>
      <c r="K114" t="s">
        <v>83</v>
      </c>
      <c r="M114" t="str">
        <f t="shared" si="5"/>
        <v/>
      </c>
    </row>
    <row r="115" spans="1:15" x14ac:dyDescent="0.45">
      <c r="A115">
        <v>6</v>
      </c>
      <c r="B115" t="s">
        <v>74</v>
      </c>
      <c r="C115" t="str">
        <f t="shared" si="4"/>
        <v>AW6</v>
      </c>
      <c r="E115" s="19">
        <v>45812</v>
      </c>
      <c r="F115" s="2"/>
      <c r="H115" t="s">
        <v>81</v>
      </c>
      <c r="I115" t="s">
        <v>76</v>
      </c>
      <c r="K115" t="s">
        <v>83</v>
      </c>
      <c r="M115" t="str">
        <f t="shared" si="5"/>
        <v/>
      </c>
    </row>
    <row r="116" spans="1:15" x14ac:dyDescent="0.45">
      <c r="A116">
        <v>6</v>
      </c>
      <c r="B116" t="s">
        <v>74</v>
      </c>
      <c r="C116" t="str">
        <f t="shared" si="4"/>
        <v>AW6</v>
      </c>
      <c r="E116" s="19">
        <v>45812</v>
      </c>
      <c r="F116" s="2"/>
      <c r="H116" t="s">
        <v>81</v>
      </c>
      <c r="I116" t="s">
        <v>78</v>
      </c>
      <c r="M116" t="str">
        <f t="shared" si="5"/>
        <v/>
      </c>
      <c r="O116">
        <v>1</v>
      </c>
    </row>
    <row r="117" spans="1:15" x14ac:dyDescent="0.45">
      <c r="A117">
        <v>6</v>
      </c>
      <c r="B117" t="s">
        <v>74</v>
      </c>
      <c r="C117" t="str">
        <f t="shared" si="4"/>
        <v>AW6</v>
      </c>
      <c r="E117" s="19">
        <v>45812</v>
      </c>
      <c r="F117" s="2"/>
      <c r="H117" t="s">
        <v>81</v>
      </c>
      <c r="I117" t="s">
        <v>80</v>
      </c>
      <c r="K117" t="s">
        <v>79</v>
      </c>
      <c r="L117">
        <v>0.2</v>
      </c>
      <c r="M117">
        <f t="shared" si="5"/>
        <v>3.1415926535897934E-2</v>
      </c>
      <c r="N117">
        <v>3</v>
      </c>
      <c r="O117">
        <v>1</v>
      </c>
    </row>
    <row r="118" spans="1:15" x14ac:dyDescent="0.45">
      <c r="A118">
        <v>7</v>
      </c>
      <c r="B118" t="s">
        <v>82</v>
      </c>
      <c r="C118" t="str">
        <f t="shared" si="4"/>
        <v>AR7</v>
      </c>
      <c r="E118" s="19">
        <v>45812</v>
      </c>
      <c r="F118" s="2"/>
      <c r="G118" t="s">
        <v>86</v>
      </c>
      <c r="M118" t="str">
        <f t="shared" si="5"/>
        <v/>
      </c>
    </row>
    <row r="119" spans="1:15" x14ac:dyDescent="0.45">
      <c r="A119">
        <v>7</v>
      </c>
      <c r="B119" t="s">
        <v>74</v>
      </c>
      <c r="C119" t="str">
        <f t="shared" si="4"/>
        <v>AW7</v>
      </c>
      <c r="E119" s="19">
        <v>45812</v>
      </c>
      <c r="F119" s="2"/>
      <c r="H119" t="s">
        <v>75</v>
      </c>
      <c r="I119" t="s">
        <v>76</v>
      </c>
      <c r="K119" t="s">
        <v>83</v>
      </c>
      <c r="M119" t="str">
        <f t="shared" si="5"/>
        <v/>
      </c>
    </row>
    <row r="120" spans="1:15" x14ac:dyDescent="0.45">
      <c r="A120">
        <v>7</v>
      </c>
      <c r="B120" t="s">
        <v>74</v>
      </c>
      <c r="C120" t="str">
        <f t="shared" si="4"/>
        <v>AW7</v>
      </c>
      <c r="E120" s="19">
        <v>45812</v>
      </c>
      <c r="F120" s="2"/>
      <c r="H120" t="s">
        <v>75</v>
      </c>
      <c r="I120" t="s">
        <v>78</v>
      </c>
      <c r="K120" t="s">
        <v>79</v>
      </c>
      <c r="L120">
        <v>1</v>
      </c>
      <c r="M120">
        <f t="shared" si="5"/>
        <v>0.78539816339744828</v>
      </c>
    </row>
    <row r="121" spans="1:15" x14ac:dyDescent="0.45">
      <c r="A121">
        <v>7</v>
      </c>
      <c r="B121" t="s">
        <v>74</v>
      </c>
      <c r="C121" t="str">
        <f t="shared" si="4"/>
        <v>AW7</v>
      </c>
      <c r="E121" s="19">
        <v>45812</v>
      </c>
      <c r="F121" s="2"/>
      <c r="H121" t="s">
        <v>75</v>
      </c>
      <c r="I121" t="s">
        <v>78</v>
      </c>
      <c r="K121" t="s">
        <v>79</v>
      </c>
      <c r="L121">
        <v>0.2</v>
      </c>
      <c r="M121">
        <f t="shared" si="5"/>
        <v>3.1415926535897934E-2</v>
      </c>
      <c r="O121">
        <v>1</v>
      </c>
    </row>
    <row r="122" spans="1:15" x14ac:dyDescent="0.45">
      <c r="A122">
        <v>7</v>
      </c>
      <c r="B122" t="s">
        <v>74</v>
      </c>
      <c r="C122" t="str">
        <f t="shared" si="4"/>
        <v>AW7</v>
      </c>
      <c r="E122" s="19">
        <v>45812</v>
      </c>
      <c r="F122" s="2"/>
      <c r="H122" t="s">
        <v>75</v>
      </c>
      <c r="I122" t="s">
        <v>80</v>
      </c>
      <c r="K122" t="s">
        <v>79</v>
      </c>
      <c r="L122">
        <v>0.2</v>
      </c>
      <c r="M122">
        <f t="shared" si="5"/>
        <v>3.1415926535897934E-2</v>
      </c>
    </row>
    <row r="123" spans="1:15" x14ac:dyDescent="0.45">
      <c r="A123">
        <v>7</v>
      </c>
      <c r="B123" t="s">
        <v>74</v>
      </c>
      <c r="C123" t="str">
        <f t="shared" si="4"/>
        <v>AW7</v>
      </c>
      <c r="E123" s="19">
        <v>45812</v>
      </c>
      <c r="F123" s="2"/>
      <c r="H123" t="s">
        <v>75</v>
      </c>
      <c r="I123" t="s">
        <v>80</v>
      </c>
      <c r="K123" t="s">
        <v>79</v>
      </c>
      <c r="L123">
        <v>0.4</v>
      </c>
      <c r="M123">
        <f t="shared" si="5"/>
        <v>0.12566370614359174</v>
      </c>
    </row>
    <row r="124" spans="1:15" x14ac:dyDescent="0.45">
      <c r="A124">
        <v>7</v>
      </c>
      <c r="B124" t="s">
        <v>74</v>
      </c>
      <c r="C124" t="str">
        <f t="shared" si="4"/>
        <v>AW7</v>
      </c>
      <c r="E124" s="19">
        <v>45812</v>
      </c>
      <c r="F124" s="2"/>
      <c r="H124" t="s">
        <v>75</v>
      </c>
      <c r="I124" t="s">
        <v>80</v>
      </c>
      <c r="K124" t="s">
        <v>79</v>
      </c>
      <c r="L124">
        <v>0.4</v>
      </c>
      <c r="M124">
        <f t="shared" si="5"/>
        <v>0.12566370614359174</v>
      </c>
    </row>
    <row r="125" spans="1:15" x14ac:dyDescent="0.45">
      <c r="A125">
        <v>7</v>
      </c>
      <c r="B125" t="s">
        <v>74</v>
      </c>
      <c r="C125" t="str">
        <f t="shared" si="4"/>
        <v>AW7</v>
      </c>
      <c r="E125" s="19">
        <v>45812</v>
      </c>
      <c r="F125" s="2"/>
      <c r="H125" t="s">
        <v>75</v>
      </c>
      <c r="I125" t="s">
        <v>80</v>
      </c>
      <c r="K125" t="s">
        <v>79</v>
      </c>
      <c r="L125">
        <v>0.3</v>
      </c>
      <c r="M125">
        <f t="shared" si="5"/>
        <v>7.0685834705770348E-2</v>
      </c>
    </row>
    <row r="126" spans="1:15" x14ac:dyDescent="0.45">
      <c r="A126">
        <v>7</v>
      </c>
      <c r="B126" t="s">
        <v>74</v>
      </c>
      <c r="C126" t="str">
        <f t="shared" si="4"/>
        <v>AW7</v>
      </c>
      <c r="E126" s="19">
        <v>45812</v>
      </c>
      <c r="F126" s="2"/>
      <c r="H126" t="s">
        <v>75</v>
      </c>
      <c r="I126" t="s">
        <v>80</v>
      </c>
      <c r="K126" t="s">
        <v>79</v>
      </c>
      <c r="L126">
        <v>0.3</v>
      </c>
      <c r="M126">
        <f t="shared" si="5"/>
        <v>7.0685834705770348E-2</v>
      </c>
    </row>
    <row r="127" spans="1:15" x14ac:dyDescent="0.45">
      <c r="A127">
        <v>7</v>
      </c>
      <c r="B127" t="s">
        <v>74</v>
      </c>
      <c r="C127" t="str">
        <f t="shared" si="4"/>
        <v>AW7</v>
      </c>
      <c r="E127" s="19">
        <v>45812</v>
      </c>
      <c r="F127" s="2"/>
      <c r="H127" t="s">
        <v>81</v>
      </c>
      <c r="I127" t="s">
        <v>76</v>
      </c>
      <c r="K127" t="s">
        <v>83</v>
      </c>
      <c r="M127" t="str">
        <f t="shared" si="5"/>
        <v/>
      </c>
    </row>
    <row r="128" spans="1:15" x14ac:dyDescent="0.45">
      <c r="A128">
        <v>7</v>
      </c>
      <c r="B128" t="s">
        <v>74</v>
      </c>
      <c r="C128" t="str">
        <f t="shared" si="4"/>
        <v>AW7</v>
      </c>
      <c r="E128" s="19">
        <v>45812</v>
      </c>
      <c r="F128" s="2"/>
      <c r="H128" t="s">
        <v>81</v>
      </c>
      <c r="I128" t="s">
        <v>78</v>
      </c>
      <c r="K128" t="s">
        <v>77</v>
      </c>
      <c r="L128">
        <v>0.5</v>
      </c>
      <c r="M128">
        <f t="shared" si="5"/>
        <v>0.1308996938995747</v>
      </c>
    </row>
    <row r="129" spans="1:15" x14ac:dyDescent="0.45">
      <c r="A129">
        <v>7</v>
      </c>
      <c r="B129" t="s">
        <v>74</v>
      </c>
      <c r="C129" t="str">
        <f t="shared" si="4"/>
        <v>AW7</v>
      </c>
      <c r="E129" s="19">
        <v>45812</v>
      </c>
      <c r="F129" s="2"/>
      <c r="H129" t="s">
        <v>81</v>
      </c>
      <c r="I129" t="s">
        <v>78</v>
      </c>
      <c r="K129" t="s">
        <v>79</v>
      </c>
      <c r="L129">
        <v>1.5</v>
      </c>
      <c r="M129">
        <f t="shared" si="5"/>
        <v>1.7671458676442586</v>
      </c>
    </row>
    <row r="130" spans="1:15" x14ac:dyDescent="0.45">
      <c r="A130">
        <v>7</v>
      </c>
      <c r="B130" t="s">
        <v>74</v>
      </c>
      <c r="C130" t="str">
        <f t="shared" si="4"/>
        <v>AW7</v>
      </c>
      <c r="E130" s="19">
        <v>45812</v>
      </c>
      <c r="F130" s="2"/>
      <c r="H130" t="s">
        <v>81</v>
      </c>
      <c r="I130" t="s">
        <v>78</v>
      </c>
      <c r="K130" t="s">
        <v>79</v>
      </c>
      <c r="L130">
        <v>0.2</v>
      </c>
      <c r="M130">
        <f t="shared" ref="M130:M139" si="6">IF(OR(L130="na", L130=""), "", IF(K130="mm", PI()*(L130/2)^2, IF(K130="ep", PI()*(L130/2)*(L130*(2/3)/2), "")))</f>
        <v>3.1415926535897934E-2</v>
      </c>
    </row>
    <row r="131" spans="1:15" x14ac:dyDescent="0.45">
      <c r="A131">
        <v>7</v>
      </c>
      <c r="B131" t="s">
        <v>74</v>
      </c>
      <c r="C131" t="str">
        <f t="shared" ref="C131:C194" si="7">"A" &amp; UPPER(LEFT(B131,1)) &amp; A131</f>
        <v>AW7</v>
      </c>
      <c r="E131" s="19">
        <v>45812</v>
      </c>
      <c r="F131" s="2"/>
      <c r="H131" t="s">
        <v>81</v>
      </c>
      <c r="I131" t="s">
        <v>80</v>
      </c>
      <c r="K131" t="s">
        <v>79</v>
      </c>
      <c r="L131">
        <v>0.3</v>
      </c>
      <c r="M131">
        <f t="shared" si="6"/>
        <v>7.0685834705770348E-2</v>
      </c>
    </row>
    <row r="132" spans="1:15" x14ac:dyDescent="0.45">
      <c r="A132">
        <v>7</v>
      </c>
      <c r="B132" t="s">
        <v>74</v>
      </c>
      <c r="C132" t="str">
        <f t="shared" si="7"/>
        <v>AW7</v>
      </c>
      <c r="E132" s="19">
        <v>45812</v>
      </c>
      <c r="F132" s="2"/>
      <c r="H132" t="s">
        <v>81</v>
      </c>
      <c r="I132" t="s">
        <v>80</v>
      </c>
      <c r="K132" t="s">
        <v>79</v>
      </c>
      <c r="L132">
        <v>0.3</v>
      </c>
      <c r="M132">
        <f t="shared" si="6"/>
        <v>7.0685834705770348E-2</v>
      </c>
    </row>
    <row r="133" spans="1:15" x14ac:dyDescent="0.45">
      <c r="A133">
        <v>8</v>
      </c>
      <c r="B133" t="s">
        <v>74</v>
      </c>
      <c r="C133" t="str">
        <f t="shared" si="7"/>
        <v>AW8</v>
      </c>
      <c r="E133" s="19">
        <v>45812</v>
      </c>
      <c r="F133" s="2"/>
      <c r="H133" t="s">
        <v>75</v>
      </c>
      <c r="I133" t="s">
        <v>76</v>
      </c>
      <c r="K133" t="s">
        <v>79</v>
      </c>
      <c r="L133">
        <v>0.5</v>
      </c>
      <c r="M133">
        <f t="shared" si="6"/>
        <v>0.19634954084936207</v>
      </c>
    </row>
    <row r="134" spans="1:15" x14ac:dyDescent="0.45">
      <c r="A134">
        <v>8</v>
      </c>
      <c r="B134" t="s">
        <v>74</v>
      </c>
      <c r="C134" t="str">
        <f t="shared" si="7"/>
        <v>AW8</v>
      </c>
      <c r="E134" s="19">
        <v>45812</v>
      </c>
      <c r="F134" s="2"/>
      <c r="H134" t="s">
        <v>75</v>
      </c>
      <c r="I134" t="s">
        <v>76</v>
      </c>
      <c r="K134" t="s">
        <v>79</v>
      </c>
      <c r="L134">
        <v>0.5</v>
      </c>
      <c r="M134">
        <f t="shared" si="6"/>
        <v>0.19634954084936207</v>
      </c>
    </row>
    <row r="135" spans="1:15" x14ac:dyDescent="0.45">
      <c r="A135">
        <v>8</v>
      </c>
      <c r="B135" t="s">
        <v>74</v>
      </c>
      <c r="C135" t="str">
        <f t="shared" si="7"/>
        <v>AW8</v>
      </c>
      <c r="E135" s="19">
        <v>45812</v>
      </c>
      <c r="F135" s="2"/>
      <c r="H135" t="s">
        <v>75</v>
      </c>
      <c r="I135" t="s">
        <v>76</v>
      </c>
      <c r="K135" t="s">
        <v>79</v>
      </c>
      <c r="L135">
        <v>0.2</v>
      </c>
      <c r="M135">
        <f t="shared" si="6"/>
        <v>3.1415926535897934E-2</v>
      </c>
    </row>
    <row r="136" spans="1:15" x14ac:dyDescent="0.45">
      <c r="A136">
        <v>8</v>
      </c>
      <c r="B136" t="s">
        <v>74</v>
      </c>
      <c r="C136" t="str">
        <f t="shared" si="7"/>
        <v>AW8</v>
      </c>
      <c r="E136" s="19">
        <v>45812</v>
      </c>
      <c r="F136" s="2"/>
      <c r="H136" t="s">
        <v>75</v>
      </c>
      <c r="I136" t="s">
        <v>78</v>
      </c>
      <c r="K136" t="s">
        <v>79</v>
      </c>
      <c r="L136">
        <v>0.5</v>
      </c>
      <c r="M136">
        <f t="shared" si="6"/>
        <v>0.19634954084936207</v>
      </c>
    </row>
    <row r="137" spans="1:15" x14ac:dyDescent="0.45">
      <c r="A137">
        <v>8</v>
      </c>
      <c r="B137" t="s">
        <v>74</v>
      </c>
      <c r="C137" t="str">
        <f t="shared" si="7"/>
        <v>AW8</v>
      </c>
      <c r="E137" s="19">
        <v>45812</v>
      </c>
      <c r="F137" s="2"/>
      <c r="H137" t="s">
        <v>75</v>
      </c>
      <c r="I137" t="s">
        <v>78</v>
      </c>
      <c r="K137" t="s">
        <v>79</v>
      </c>
      <c r="L137">
        <v>0.4</v>
      </c>
      <c r="M137">
        <f t="shared" si="6"/>
        <v>0.12566370614359174</v>
      </c>
    </row>
    <row r="138" spans="1:15" x14ac:dyDescent="0.45">
      <c r="A138">
        <v>8</v>
      </c>
      <c r="B138" t="s">
        <v>74</v>
      </c>
      <c r="C138" t="str">
        <f t="shared" si="7"/>
        <v>AW8</v>
      </c>
      <c r="E138" s="19">
        <v>45812</v>
      </c>
      <c r="F138" s="2"/>
      <c r="H138" t="s">
        <v>75</v>
      </c>
      <c r="I138" t="s">
        <v>80</v>
      </c>
      <c r="K138" t="s">
        <v>79</v>
      </c>
      <c r="L138">
        <v>0.2</v>
      </c>
      <c r="M138">
        <f t="shared" si="6"/>
        <v>3.1415926535897934E-2</v>
      </c>
      <c r="O138">
        <v>3</v>
      </c>
    </row>
    <row r="139" spans="1:15" x14ac:dyDescent="0.45">
      <c r="A139">
        <v>8</v>
      </c>
      <c r="B139" t="s">
        <v>74</v>
      </c>
      <c r="C139" t="str">
        <f t="shared" si="7"/>
        <v>AW8</v>
      </c>
      <c r="E139" s="19">
        <v>45812</v>
      </c>
      <c r="F139" s="2"/>
      <c r="H139" t="s">
        <v>81</v>
      </c>
      <c r="I139" t="s">
        <v>76</v>
      </c>
      <c r="K139" t="s">
        <v>79</v>
      </c>
      <c r="L139">
        <v>0.5</v>
      </c>
      <c r="M139">
        <f t="shared" si="6"/>
        <v>0.19634954084936207</v>
      </c>
      <c r="N139">
        <v>5</v>
      </c>
    </row>
    <row r="140" spans="1:15" x14ac:dyDescent="0.45">
      <c r="A140">
        <v>8</v>
      </c>
      <c r="B140" t="s">
        <v>74</v>
      </c>
      <c r="C140" t="str">
        <f t="shared" si="7"/>
        <v>AW8</v>
      </c>
      <c r="E140" s="19">
        <v>45812</v>
      </c>
      <c r="F140" s="2"/>
      <c r="H140" t="s">
        <v>81</v>
      </c>
      <c r="I140" t="s">
        <v>78</v>
      </c>
      <c r="M140" t="str">
        <f t="shared" ref="M140:M145" si="8">IF(OR(L140="na", L140=""), "", IF(K140="mm", PI()*(L140/2)^2, IF(K140="ep", PI()*(L140/2)*(L140*(2/3)/2), "")))</f>
        <v/>
      </c>
      <c r="N140">
        <v>4</v>
      </c>
    </row>
    <row r="141" spans="1:15" x14ac:dyDescent="0.45">
      <c r="A141">
        <v>8</v>
      </c>
      <c r="B141" t="s">
        <v>74</v>
      </c>
      <c r="C141" t="str">
        <f t="shared" si="7"/>
        <v>AW8</v>
      </c>
      <c r="E141" s="19">
        <v>45812</v>
      </c>
      <c r="F141" s="2"/>
      <c r="H141" t="s">
        <v>81</v>
      </c>
      <c r="I141" t="s">
        <v>80</v>
      </c>
      <c r="K141" t="s">
        <v>79</v>
      </c>
      <c r="L141">
        <v>0.4</v>
      </c>
      <c r="M141">
        <f t="shared" si="8"/>
        <v>0.12566370614359174</v>
      </c>
      <c r="O141">
        <v>1</v>
      </c>
    </row>
    <row r="142" spans="1:15" x14ac:dyDescent="0.45">
      <c r="A142">
        <v>9</v>
      </c>
      <c r="B142" t="s">
        <v>87</v>
      </c>
      <c r="C142" t="str">
        <f t="shared" si="7"/>
        <v>AO9</v>
      </c>
      <c r="E142" s="19">
        <v>45812</v>
      </c>
      <c r="F142" s="2"/>
      <c r="G142" t="s">
        <v>88</v>
      </c>
      <c r="M142" t="str">
        <f t="shared" si="8"/>
        <v/>
      </c>
    </row>
    <row r="143" spans="1:15" x14ac:dyDescent="0.45">
      <c r="A143">
        <v>9</v>
      </c>
      <c r="B143" t="s">
        <v>89</v>
      </c>
      <c r="C143" t="str">
        <f t="shared" si="7"/>
        <v>AG9</v>
      </c>
      <c r="E143" s="19">
        <v>45812</v>
      </c>
      <c r="F143" s="2"/>
      <c r="H143" t="s">
        <v>81</v>
      </c>
      <c r="I143" t="s">
        <v>80</v>
      </c>
      <c r="K143" t="s">
        <v>77</v>
      </c>
      <c r="L143">
        <v>0.1</v>
      </c>
      <c r="M143">
        <f t="shared" si="8"/>
        <v>5.2359877559829881E-3</v>
      </c>
    </row>
    <row r="144" spans="1:15" x14ac:dyDescent="0.45">
      <c r="A144">
        <v>9</v>
      </c>
      <c r="B144" t="s">
        <v>74</v>
      </c>
      <c r="C144" t="str">
        <f t="shared" si="7"/>
        <v>AW9</v>
      </c>
      <c r="E144" s="19">
        <v>45812</v>
      </c>
      <c r="F144" s="2"/>
      <c r="H144" t="s">
        <v>75</v>
      </c>
      <c r="I144" t="s">
        <v>76</v>
      </c>
      <c r="K144" t="s">
        <v>83</v>
      </c>
      <c r="M144" t="str">
        <f t="shared" si="8"/>
        <v/>
      </c>
    </row>
    <row r="145" spans="1:15" x14ac:dyDescent="0.45">
      <c r="A145">
        <v>9</v>
      </c>
      <c r="B145" t="s">
        <v>74</v>
      </c>
      <c r="C145" t="str">
        <f t="shared" si="7"/>
        <v>AW9</v>
      </c>
      <c r="E145" s="19">
        <v>45812</v>
      </c>
      <c r="F145" s="2"/>
      <c r="H145" t="s">
        <v>75</v>
      </c>
      <c r="I145" t="s">
        <v>78</v>
      </c>
      <c r="M145" t="str">
        <f t="shared" si="8"/>
        <v/>
      </c>
      <c r="N145">
        <v>2</v>
      </c>
      <c r="O145">
        <v>1</v>
      </c>
    </row>
    <row r="146" spans="1:15" x14ac:dyDescent="0.45">
      <c r="A146">
        <v>9</v>
      </c>
      <c r="B146" t="s">
        <v>74</v>
      </c>
      <c r="C146" t="str">
        <f t="shared" si="7"/>
        <v>AW9</v>
      </c>
      <c r="E146" s="19">
        <v>45812</v>
      </c>
      <c r="F146" s="2"/>
      <c r="H146" t="s">
        <v>75</v>
      </c>
      <c r="I146" t="s">
        <v>80</v>
      </c>
      <c r="M146" t="str">
        <f t="shared" ref="M146:M209" si="9">IF(OR(L146="na", L146=""), "", IF(K146="mm", PI()*(L146/2)^2, IF(K146="ep", PI()*(L146/2)*(L146*(2/3)/2), "")))</f>
        <v/>
      </c>
      <c r="O146">
        <v>1</v>
      </c>
    </row>
    <row r="147" spans="1:15" x14ac:dyDescent="0.45">
      <c r="A147">
        <v>9</v>
      </c>
      <c r="B147" t="s">
        <v>74</v>
      </c>
      <c r="C147" t="str">
        <f t="shared" si="7"/>
        <v>AW9</v>
      </c>
      <c r="E147" s="19">
        <v>45812</v>
      </c>
      <c r="F147" s="2"/>
      <c r="H147" t="s">
        <v>81</v>
      </c>
      <c r="I147" t="s">
        <v>76</v>
      </c>
      <c r="K147" t="s">
        <v>83</v>
      </c>
      <c r="M147" t="str">
        <f t="shared" si="9"/>
        <v/>
      </c>
    </row>
    <row r="148" spans="1:15" x14ac:dyDescent="0.45">
      <c r="A148">
        <v>9</v>
      </c>
      <c r="B148" t="s">
        <v>74</v>
      </c>
      <c r="C148" t="str">
        <f t="shared" si="7"/>
        <v>AW9</v>
      </c>
      <c r="E148" s="19">
        <v>45812</v>
      </c>
      <c r="F148" s="2"/>
      <c r="H148" t="s">
        <v>81</v>
      </c>
      <c r="I148" t="s">
        <v>78</v>
      </c>
      <c r="K148" t="s">
        <v>77</v>
      </c>
      <c r="L148">
        <v>0.4</v>
      </c>
      <c r="M148">
        <f t="shared" si="9"/>
        <v>8.377580409572781E-2</v>
      </c>
    </row>
    <row r="149" spans="1:15" x14ac:dyDescent="0.45">
      <c r="A149">
        <v>9</v>
      </c>
      <c r="B149" t="s">
        <v>74</v>
      </c>
      <c r="C149" t="str">
        <f t="shared" si="7"/>
        <v>AW9</v>
      </c>
      <c r="E149" s="19">
        <v>45812</v>
      </c>
      <c r="F149" s="2"/>
      <c r="H149" t="s">
        <v>81</v>
      </c>
      <c r="I149" t="s">
        <v>78</v>
      </c>
      <c r="K149" t="s">
        <v>77</v>
      </c>
      <c r="L149">
        <v>0.3</v>
      </c>
      <c r="M149">
        <f t="shared" si="9"/>
        <v>4.7123889803846894E-2</v>
      </c>
    </row>
    <row r="150" spans="1:15" x14ac:dyDescent="0.45">
      <c r="A150">
        <v>9</v>
      </c>
      <c r="B150" t="s">
        <v>74</v>
      </c>
      <c r="C150" t="str">
        <f t="shared" si="7"/>
        <v>AW9</v>
      </c>
      <c r="E150" s="19">
        <v>45812</v>
      </c>
      <c r="F150" s="2"/>
      <c r="H150" t="s">
        <v>81</v>
      </c>
      <c r="I150" t="s">
        <v>78</v>
      </c>
      <c r="K150" t="s">
        <v>77</v>
      </c>
      <c r="L150">
        <v>0.2</v>
      </c>
      <c r="M150">
        <f t="shared" si="9"/>
        <v>2.0943951023931952E-2</v>
      </c>
    </row>
    <row r="151" spans="1:15" x14ac:dyDescent="0.45">
      <c r="A151">
        <v>9</v>
      </c>
      <c r="B151" t="s">
        <v>74</v>
      </c>
      <c r="C151" t="str">
        <f t="shared" si="7"/>
        <v>AW9</v>
      </c>
      <c r="E151" s="19">
        <v>45812</v>
      </c>
      <c r="F151" s="2"/>
      <c r="H151" t="s">
        <v>81</v>
      </c>
      <c r="I151" t="s">
        <v>80</v>
      </c>
      <c r="K151" t="s">
        <v>79</v>
      </c>
      <c r="L151">
        <v>0.4</v>
      </c>
      <c r="M151">
        <f t="shared" si="9"/>
        <v>0.12566370614359174</v>
      </c>
    </row>
    <row r="152" spans="1:15" x14ac:dyDescent="0.45">
      <c r="A152">
        <v>9</v>
      </c>
      <c r="B152" t="s">
        <v>82</v>
      </c>
      <c r="C152" t="str">
        <f t="shared" si="7"/>
        <v>AR9</v>
      </c>
      <c r="E152" s="19">
        <v>45812</v>
      </c>
      <c r="F152" s="2"/>
      <c r="H152" t="s">
        <v>75</v>
      </c>
      <c r="I152" t="s">
        <v>76</v>
      </c>
      <c r="K152" t="s">
        <v>83</v>
      </c>
      <c r="M152" t="str">
        <f t="shared" si="9"/>
        <v/>
      </c>
    </row>
    <row r="153" spans="1:15" x14ac:dyDescent="0.45">
      <c r="A153">
        <v>9</v>
      </c>
      <c r="B153" t="s">
        <v>82</v>
      </c>
      <c r="C153" t="str">
        <f t="shared" si="7"/>
        <v>AR9</v>
      </c>
      <c r="E153" s="19">
        <v>45812</v>
      </c>
      <c r="F153" s="2"/>
      <c r="H153" t="s">
        <v>75</v>
      </c>
      <c r="I153" t="s">
        <v>78</v>
      </c>
      <c r="K153" t="s">
        <v>77</v>
      </c>
      <c r="L153">
        <v>0.5</v>
      </c>
      <c r="M153">
        <f t="shared" si="9"/>
        <v>0.1308996938995747</v>
      </c>
    </row>
    <row r="154" spans="1:15" x14ac:dyDescent="0.45">
      <c r="A154">
        <v>9</v>
      </c>
      <c r="B154" t="s">
        <v>82</v>
      </c>
      <c r="C154" t="str">
        <f t="shared" si="7"/>
        <v>AR9</v>
      </c>
      <c r="E154" s="19">
        <v>45812</v>
      </c>
      <c r="F154" s="2"/>
      <c r="H154" t="s">
        <v>75</v>
      </c>
      <c r="I154" t="s">
        <v>78</v>
      </c>
      <c r="K154" t="s">
        <v>79</v>
      </c>
      <c r="L154">
        <v>0.6</v>
      </c>
      <c r="M154">
        <f t="shared" si="9"/>
        <v>0.28274333882308139</v>
      </c>
    </row>
    <row r="155" spans="1:15" x14ac:dyDescent="0.45">
      <c r="A155">
        <v>9</v>
      </c>
      <c r="B155" t="s">
        <v>82</v>
      </c>
      <c r="C155" t="str">
        <f t="shared" si="7"/>
        <v>AR9</v>
      </c>
      <c r="E155" s="19">
        <v>45812</v>
      </c>
      <c r="F155" s="2"/>
      <c r="H155" t="s">
        <v>75</v>
      </c>
      <c r="I155" t="s">
        <v>78</v>
      </c>
      <c r="K155" t="s">
        <v>77</v>
      </c>
      <c r="L155">
        <v>0.3</v>
      </c>
      <c r="M155">
        <f t="shared" si="9"/>
        <v>4.7123889803846894E-2</v>
      </c>
    </row>
    <row r="156" spans="1:15" x14ac:dyDescent="0.45">
      <c r="A156">
        <v>9</v>
      </c>
      <c r="B156" t="s">
        <v>82</v>
      </c>
      <c r="C156" t="str">
        <f t="shared" si="7"/>
        <v>AR9</v>
      </c>
      <c r="E156" s="19">
        <v>45812</v>
      </c>
      <c r="F156" s="2"/>
      <c r="H156" t="s">
        <v>75</v>
      </c>
      <c r="I156" t="s">
        <v>80</v>
      </c>
      <c r="K156" t="s">
        <v>77</v>
      </c>
      <c r="L156">
        <v>0.6</v>
      </c>
      <c r="M156">
        <f t="shared" si="9"/>
        <v>0.18849555921538758</v>
      </c>
    </row>
    <row r="157" spans="1:15" x14ac:dyDescent="0.45">
      <c r="A157">
        <v>9</v>
      </c>
      <c r="B157" t="s">
        <v>82</v>
      </c>
      <c r="C157" t="str">
        <f t="shared" si="7"/>
        <v>AR9</v>
      </c>
      <c r="E157" s="19">
        <v>45812</v>
      </c>
      <c r="F157" s="2"/>
      <c r="H157" t="s">
        <v>75</v>
      </c>
      <c r="I157" t="s">
        <v>80</v>
      </c>
      <c r="K157" t="s">
        <v>79</v>
      </c>
      <c r="L157">
        <v>0.3</v>
      </c>
      <c r="M157">
        <f t="shared" si="9"/>
        <v>7.0685834705770348E-2</v>
      </c>
    </row>
    <row r="158" spans="1:15" x14ac:dyDescent="0.45">
      <c r="A158">
        <v>9</v>
      </c>
      <c r="B158" t="s">
        <v>82</v>
      </c>
      <c r="C158" t="str">
        <f t="shared" si="7"/>
        <v>AR9</v>
      </c>
      <c r="E158" s="19">
        <v>45812</v>
      </c>
      <c r="F158" s="2"/>
      <c r="H158" t="s">
        <v>81</v>
      </c>
      <c r="I158" t="s">
        <v>76</v>
      </c>
      <c r="K158" t="s">
        <v>83</v>
      </c>
      <c r="M158" t="str">
        <f t="shared" si="9"/>
        <v/>
      </c>
    </row>
    <row r="159" spans="1:15" x14ac:dyDescent="0.45">
      <c r="A159">
        <v>9</v>
      </c>
      <c r="B159" t="s">
        <v>82</v>
      </c>
      <c r="C159" t="str">
        <f t="shared" si="7"/>
        <v>AR9</v>
      </c>
      <c r="E159" s="19">
        <v>45812</v>
      </c>
      <c r="F159" s="2"/>
      <c r="H159" t="s">
        <v>81</v>
      </c>
      <c r="I159" t="s">
        <v>78</v>
      </c>
      <c r="K159" t="s">
        <v>79</v>
      </c>
      <c r="L159">
        <v>0.8</v>
      </c>
      <c r="M159">
        <f t="shared" si="9"/>
        <v>0.50265482457436694</v>
      </c>
      <c r="N159">
        <v>1</v>
      </c>
    </row>
    <row r="160" spans="1:15" x14ac:dyDescent="0.45">
      <c r="A160">
        <v>9</v>
      </c>
      <c r="B160" t="s">
        <v>82</v>
      </c>
      <c r="C160" t="str">
        <f t="shared" si="7"/>
        <v>AR9</v>
      </c>
      <c r="E160" s="19">
        <v>45812</v>
      </c>
      <c r="F160" s="2"/>
      <c r="H160" t="s">
        <v>81</v>
      </c>
      <c r="I160" t="s">
        <v>80</v>
      </c>
      <c r="K160" t="s">
        <v>83</v>
      </c>
      <c r="M160" t="str">
        <f t="shared" si="9"/>
        <v/>
      </c>
    </row>
    <row r="161" spans="1:15" x14ac:dyDescent="0.45">
      <c r="A161">
        <v>10</v>
      </c>
      <c r="B161" t="s">
        <v>74</v>
      </c>
      <c r="C161" t="str">
        <f t="shared" si="7"/>
        <v>AW10</v>
      </c>
      <c r="E161" s="19">
        <v>45812</v>
      </c>
      <c r="F161" s="2"/>
      <c r="H161" t="s">
        <v>75</v>
      </c>
      <c r="I161" t="s">
        <v>76</v>
      </c>
      <c r="K161" t="s">
        <v>79</v>
      </c>
      <c r="L161">
        <v>1</v>
      </c>
      <c r="M161">
        <f t="shared" si="9"/>
        <v>0.78539816339744828</v>
      </c>
    </row>
    <row r="162" spans="1:15" x14ac:dyDescent="0.45">
      <c r="A162">
        <v>10</v>
      </c>
      <c r="B162" t="s">
        <v>74</v>
      </c>
      <c r="C162" t="str">
        <f t="shared" si="7"/>
        <v>AW10</v>
      </c>
      <c r="E162" s="19">
        <v>45812</v>
      </c>
      <c r="F162" s="2"/>
      <c r="H162" t="s">
        <v>75</v>
      </c>
      <c r="I162" t="s">
        <v>76</v>
      </c>
      <c r="K162" t="s">
        <v>79</v>
      </c>
      <c r="L162">
        <v>0.8</v>
      </c>
      <c r="M162">
        <f t="shared" si="9"/>
        <v>0.50265482457436694</v>
      </c>
    </row>
    <row r="163" spans="1:15" x14ac:dyDescent="0.45">
      <c r="A163">
        <v>10</v>
      </c>
      <c r="B163" t="s">
        <v>74</v>
      </c>
      <c r="C163" t="str">
        <f t="shared" si="7"/>
        <v>AW10</v>
      </c>
      <c r="E163" s="19">
        <v>45812</v>
      </c>
      <c r="F163" s="2"/>
      <c r="H163" t="s">
        <v>75</v>
      </c>
      <c r="I163" t="s">
        <v>78</v>
      </c>
      <c r="K163" t="s">
        <v>79</v>
      </c>
      <c r="L163">
        <v>1.2</v>
      </c>
      <c r="M163">
        <f t="shared" si="9"/>
        <v>1.1309733552923256</v>
      </c>
    </row>
    <row r="164" spans="1:15" x14ac:dyDescent="0.45">
      <c r="A164">
        <v>10</v>
      </c>
      <c r="B164" t="s">
        <v>74</v>
      </c>
      <c r="C164" t="str">
        <f t="shared" si="7"/>
        <v>AW10</v>
      </c>
      <c r="E164" s="19">
        <v>45812</v>
      </c>
      <c r="F164" s="2"/>
      <c r="H164" t="s">
        <v>75</v>
      </c>
      <c r="I164" t="s">
        <v>78</v>
      </c>
      <c r="K164" t="s">
        <v>79</v>
      </c>
      <c r="L164">
        <v>0.2</v>
      </c>
      <c r="M164">
        <f t="shared" si="9"/>
        <v>3.1415926535897934E-2</v>
      </c>
    </row>
    <row r="165" spans="1:15" x14ac:dyDescent="0.45">
      <c r="A165">
        <v>10</v>
      </c>
      <c r="B165" t="s">
        <v>74</v>
      </c>
      <c r="C165" t="str">
        <f t="shared" si="7"/>
        <v>AW10</v>
      </c>
      <c r="E165" s="19">
        <v>45812</v>
      </c>
      <c r="F165" s="2"/>
      <c r="H165" t="s">
        <v>75</v>
      </c>
      <c r="I165" t="s">
        <v>80</v>
      </c>
      <c r="K165" t="s">
        <v>79</v>
      </c>
      <c r="L165">
        <v>0.4</v>
      </c>
      <c r="M165">
        <f t="shared" si="9"/>
        <v>0.12566370614359174</v>
      </c>
    </row>
    <row r="166" spans="1:15" x14ac:dyDescent="0.45">
      <c r="A166">
        <v>10</v>
      </c>
      <c r="B166" t="s">
        <v>74</v>
      </c>
      <c r="C166" t="str">
        <f t="shared" si="7"/>
        <v>AW10</v>
      </c>
      <c r="E166" s="19">
        <v>45812</v>
      </c>
      <c r="F166" s="2"/>
      <c r="H166" t="s">
        <v>75</v>
      </c>
      <c r="I166" t="s">
        <v>80</v>
      </c>
      <c r="K166" t="s">
        <v>79</v>
      </c>
      <c r="L166">
        <v>0.2</v>
      </c>
      <c r="M166">
        <f t="shared" si="9"/>
        <v>3.1415926535897934E-2</v>
      </c>
    </row>
    <row r="167" spans="1:15" x14ac:dyDescent="0.45">
      <c r="A167">
        <v>10</v>
      </c>
      <c r="B167" t="s">
        <v>74</v>
      </c>
      <c r="C167" t="str">
        <f t="shared" si="7"/>
        <v>AW10</v>
      </c>
      <c r="E167" s="19">
        <v>45812</v>
      </c>
      <c r="F167" s="2"/>
      <c r="H167" t="s">
        <v>75</v>
      </c>
      <c r="I167" t="s">
        <v>80</v>
      </c>
      <c r="K167" t="s">
        <v>79</v>
      </c>
      <c r="L167">
        <v>0.4</v>
      </c>
      <c r="M167">
        <f t="shared" si="9"/>
        <v>0.12566370614359174</v>
      </c>
    </row>
    <row r="168" spans="1:15" x14ac:dyDescent="0.45">
      <c r="A168">
        <v>10</v>
      </c>
      <c r="B168" t="s">
        <v>74</v>
      </c>
      <c r="C168" t="str">
        <f t="shared" si="7"/>
        <v>AW10</v>
      </c>
      <c r="E168" s="19">
        <v>45812</v>
      </c>
      <c r="F168" s="2"/>
      <c r="H168" t="s">
        <v>75</v>
      </c>
      <c r="I168" t="s">
        <v>80</v>
      </c>
      <c r="K168" t="s">
        <v>79</v>
      </c>
      <c r="L168">
        <v>0.5</v>
      </c>
      <c r="M168">
        <f t="shared" si="9"/>
        <v>0.19634954084936207</v>
      </c>
    </row>
    <row r="169" spans="1:15" x14ac:dyDescent="0.45">
      <c r="A169">
        <v>10</v>
      </c>
      <c r="B169" t="s">
        <v>74</v>
      </c>
      <c r="C169" t="str">
        <f t="shared" si="7"/>
        <v>AW10</v>
      </c>
      <c r="E169" s="19">
        <v>45812</v>
      </c>
      <c r="F169" s="2"/>
      <c r="H169" t="s">
        <v>81</v>
      </c>
      <c r="I169" t="s">
        <v>76</v>
      </c>
      <c r="K169" t="s">
        <v>83</v>
      </c>
      <c r="M169" t="str">
        <f t="shared" si="9"/>
        <v/>
      </c>
    </row>
    <row r="170" spans="1:15" x14ac:dyDescent="0.45">
      <c r="A170">
        <v>10</v>
      </c>
      <c r="B170" t="s">
        <v>74</v>
      </c>
      <c r="C170" t="str">
        <f t="shared" si="7"/>
        <v>AW10</v>
      </c>
      <c r="E170" s="19">
        <v>45812</v>
      </c>
      <c r="F170" s="2"/>
      <c r="H170" t="s">
        <v>81</v>
      </c>
      <c r="I170" t="s">
        <v>78</v>
      </c>
      <c r="K170" t="s">
        <v>79</v>
      </c>
      <c r="L170">
        <v>0.2</v>
      </c>
      <c r="M170">
        <f t="shared" si="9"/>
        <v>3.1415926535897934E-2</v>
      </c>
      <c r="O170">
        <v>1</v>
      </c>
    </row>
    <row r="171" spans="1:15" x14ac:dyDescent="0.45">
      <c r="A171">
        <v>10</v>
      </c>
      <c r="B171" t="s">
        <v>74</v>
      </c>
      <c r="C171" t="str">
        <f t="shared" si="7"/>
        <v>AW10</v>
      </c>
      <c r="E171" s="19">
        <v>45812</v>
      </c>
      <c r="F171" s="2"/>
      <c r="H171" t="s">
        <v>81</v>
      </c>
      <c r="I171" t="s">
        <v>80</v>
      </c>
      <c r="K171" t="s">
        <v>79</v>
      </c>
      <c r="L171">
        <v>0.4</v>
      </c>
      <c r="M171">
        <f t="shared" si="9"/>
        <v>0.12566370614359174</v>
      </c>
      <c r="O171">
        <v>2</v>
      </c>
    </row>
    <row r="172" spans="1:15" x14ac:dyDescent="0.45">
      <c r="A172">
        <v>10</v>
      </c>
      <c r="B172" t="s">
        <v>74</v>
      </c>
      <c r="C172" t="str">
        <f t="shared" si="7"/>
        <v>AW10</v>
      </c>
      <c r="E172" s="19">
        <v>45812</v>
      </c>
      <c r="F172" s="2"/>
      <c r="H172" t="s">
        <v>81</v>
      </c>
      <c r="I172" t="s">
        <v>80</v>
      </c>
      <c r="K172" t="s">
        <v>79</v>
      </c>
      <c r="L172">
        <v>0.2</v>
      </c>
      <c r="M172">
        <f t="shared" si="9"/>
        <v>3.1415926535897934E-2</v>
      </c>
    </row>
    <row r="173" spans="1:15" x14ac:dyDescent="0.45">
      <c r="A173">
        <v>11</v>
      </c>
      <c r="B173" t="s">
        <v>74</v>
      </c>
      <c r="C173" t="str">
        <f t="shared" si="7"/>
        <v>AW11</v>
      </c>
      <c r="E173" s="19">
        <v>45812</v>
      </c>
      <c r="F173" s="2"/>
      <c r="H173" t="s">
        <v>75</v>
      </c>
      <c r="I173" t="s">
        <v>76</v>
      </c>
      <c r="K173" t="s">
        <v>79</v>
      </c>
      <c r="L173">
        <v>0.8</v>
      </c>
      <c r="M173">
        <f t="shared" si="9"/>
        <v>0.50265482457436694</v>
      </c>
    </row>
    <row r="174" spans="1:15" x14ac:dyDescent="0.45">
      <c r="A174">
        <v>11</v>
      </c>
      <c r="B174" t="s">
        <v>74</v>
      </c>
      <c r="C174" t="str">
        <f t="shared" si="7"/>
        <v>AW11</v>
      </c>
      <c r="E174" s="19">
        <v>45812</v>
      </c>
      <c r="F174" s="2"/>
      <c r="H174" t="s">
        <v>75</v>
      </c>
      <c r="I174" t="s">
        <v>78</v>
      </c>
      <c r="K174" t="s">
        <v>79</v>
      </c>
      <c r="L174">
        <v>0.3</v>
      </c>
      <c r="M174">
        <f t="shared" si="9"/>
        <v>7.0685834705770348E-2</v>
      </c>
      <c r="N174">
        <v>4</v>
      </c>
    </row>
    <row r="175" spans="1:15" x14ac:dyDescent="0.45">
      <c r="A175">
        <v>11</v>
      </c>
      <c r="B175" t="s">
        <v>74</v>
      </c>
      <c r="C175" t="str">
        <f t="shared" si="7"/>
        <v>AW11</v>
      </c>
      <c r="E175" s="19">
        <v>45812</v>
      </c>
      <c r="F175" s="2"/>
      <c r="H175" t="s">
        <v>75</v>
      </c>
      <c r="I175" t="s">
        <v>78</v>
      </c>
      <c r="K175" t="s">
        <v>79</v>
      </c>
      <c r="L175">
        <v>0.3</v>
      </c>
      <c r="M175">
        <f t="shared" si="9"/>
        <v>7.0685834705770348E-2</v>
      </c>
    </row>
    <row r="176" spans="1:15" x14ac:dyDescent="0.45">
      <c r="A176">
        <v>11</v>
      </c>
      <c r="B176" t="s">
        <v>74</v>
      </c>
      <c r="C176" t="str">
        <f t="shared" si="7"/>
        <v>AW11</v>
      </c>
      <c r="E176" s="19">
        <v>45812</v>
      </c>
      <c r="F176" s="2"/>
      <c r="H176" t="s">
        <v>75</v>
      </c>
      <c r="I176" t="s">
        <v>78</v>
      </c>
      <c r="K176" t="s">
        <v>79</v>
      </c>
      <c r="L176">
        <v>0.3</v>
      </c>
      <c r="M176">
        <f t="shared" si="9"/>
        <v>7.0685834705770348E-2</v>
      </c>
    </row>
    <row r="177" spans="1:15" x14ac:dyDescent="0.45">
      <c r="A177">
        <v>11</v>
      </c>
      <c r="B177" t="s">
        <v>74</v>
      </c>
      <c r="C177" t="str">
        <f t="shared" si="7"/>
        <v>AW11</v>
      </c>
      <c r="E177" s="19">
        <v>45812</v>
      </c>
      <c r="F177" s="2"/>
      <c r="H177" t="s">
        <v>75</v>
      </c>
      <c r="I177" t="s">
        <v>80</v>
      </c>
      <c r="M177" t="str">
        <f t="shared" si="9"/>
        <v/>
      </c>
      <c r="O177">
        <v>2</v>
      </c>
    </row>
    <row r="178" spans="1:15" x14ac:dyDescent="0.45">
      <c r="A178">
        <v>11</v>
      </c>
      <c r="B178" t="s">
        <v>74</v>
      </c>
      <c r="C178" t="str">
        <f t="shared" si="7"/>
        <v>AW11</v>
      </c>
      <c r="E178" s="19">
        <v>45812</v>
      </c>
      <c r="F178" s="2"/>
      <c r="H178" t="s">
        <v>81</v>
      </c>
      <c r="I178" t="s">
        <v>76</v>
      </c>
      <c r="K178" t="s">
        <v>79</v>
      </c>
      <c r="L178">
        <v>2</v>
      </c>
      <c r="M178">
        <f t="shared" si="9"/>
        <v>3.1415926535897931</v>
      </c>
    </row>
    <row r="179" spans="1:15" x14ac:dyDescent="0.45">
      <c r="A179">
        <v>11</v>
      </c>
      <c r="B179" t="s">
        <v>74</v>
      </c>
      <c r="C179" t="str">
        <f t="shared" si="7"/>
        <v>AW11</v>
      </c>
      <c r="E179" s="19">
        <v>45812</v>
      </c>
      <c r="F179" s="2"/>
      <c r="H179" t="s">
        <v>81</v>
      </c>
      <c r="I179" t="s">
        <v>78</v>
      </c>
      <c r="K179" t="s">
        <v>79</v>
      </c>
      <c r="L179">
        <v>0.2</v>
      </c>
      <c r="M179">
        <f t="shared" si="9"/>
        <v>3.1415926535897934E-2</v>
      </c>
    </row>
    <row r="180" spans="1:15" x14ac:dyDescent="0.45">
      <c r="A180">
        <v>11</v>
      </c>
      <c r="B180" t="s">
        <v>74</v>
      </c>
      <c r="C180" t="str">
        <f t="shared" si="7"/>
        <v>AW11</v>
      </c>
      <c r="E180" s="19">
        <v>45812</v>
      </c>
      <c r="F180" s="2"/>
      <c r="H180" t="s">
        <v>81</v>
      </c>
      <c r="I180" t="s">
        <v>78</v>
      </c>
      <c r="K180" t="s">
        <v>79</v>
      </c>
      <c r="L180">
        <v>0.1</v>
      </c>
      <c r="M180">
        <f t="shared" si="9"/>
        <v>7.8539816339744835E-3</v>
      </c>
    </row>
    <row r="181" spans="1:15" x14ac:dyDescent="0.45">
      <c r="A181">
        <v>11</v>
      </c>
      <c r="B181" t="s">
        <v>74</v>
      </c>
      <c r="C181" t="str">
        <f t="shared" si="7"/>
        <v>AW11</v>
      </c>
      <c r="E181" s="19">
        <v>45812</v>
      </c>
      <c r="F181" s="2"/>
      <c r="H181" t="s">
        <v>81</v>
      </c>
      <c r="I181" t="s">
        <v>80</v>
      </c>
      <c r="L181" t="s">
        <v>83</v>
      </c>
      <c r="M181" t="str">
        <f t="shared" si="9"/>
        <v/>
      </c>
    </row>
    <row r="182" spans="1:15" x14ac:dyDescent="0.45">
      <c r="A182">
        <v>12</v>
      </c>
      <c r="B182" t="s">
        <v>74</v>
      </c>
      <c r="C182" t="str">
        <f t="shared" si="7"/>
        <v>AW12</v>
      </c>
      <c r="E182" s="19">
        <v>45812</v>
      </c>
      <c r="F182" s="2"/>
      <c r="H182" t="s">
        <v>75</v>
      </c>
      <c r="I182" t="s">
        <v>76</v>
      </c>
      <c r="K182" t="s">
        <v>79</v>
      </c>
      <c r="L182">
        <v>1.5</v>
      </c>
      <c r="M182">
        <f t="shared" si="9"/>
        <v>1.7671458676442586</v>
      </c>
      <c r="O182">
        <v>2</v>
      </c>
    </row>
    <row r="183" spans="1:15" x14ac:dyDescent="0.45">
      <c r="A183">
        <v>12</v>
      </c>
      <c r="B183" t="s">
        <v>74</v>
      </c>
      <c r="C183" t="str">
        <f t="shared" si="7"/>
        <v>AW12</v>
      </c>
      <c r="E183" s="19">
        <v>45812</v>
      </c>
      <c r="F183" s="2"/>
      <c r="H183" t="s">
        <v>75</v>
      </c>
      <c r="I183" t="s">
        <v>78</v>
      </c>
      <c r="K183" t="s">
        <v>79</v>
      </c>
      <c r="L183">
        <v>0.8</v>
      </c>
      <c r="M183">
        <f t="shared" si="9"/>
        <v>0.50265482457436694</v>
      </c>
    </row>
    <row r="184" spans="1:15" x14ac:dyDescent="0.45">
      <c r="A184">
        <v>12</v>
      </c>
      <c r="B184" t="s">
        <v>74</v>
      </c>
      <c r="C184" t="str">
        <f t="shared" si="7"/>
        <v>AW12</v>
      </c>
      <c r="E184" s="19">
        <v>45812</v>
      </c>
      <c r="F184" s="2"/>
      <c r="H184" t="s">
        <v>75</v>
      </c>
      <c r="I184" t="s">
        <v>80</v>
      </c>
      <c r="K184" t="s">
        <v>79</v>
      </c>
      <c r="L184">
        <v>0.5</v>
      </c>
      <c r="M184">
        <f t="shared" si="9"/>
        <v>0.19634954084936207</v>
      </c>
      <c r="N184">
        <v>2</v>
      </c>
    </row>
    <row r="185" spans="1:15" x14ac:dyDescent="0.45">
      <c r="A185">
        <v>12</v>
      </c>
      <c r="B185" t="s">
        <v>74</v>
      </c>
      <c r="C185" t="str">
        <f t="shared" si="7"/>
        <v>AW12</v>
      </c>
      <c r="E185" s="19">
        <v>45812</v>
      </c>
      <c r="F185" s="2"/>
      <c r="H185" t="s">
        <v>81</v>
      </c>
      <c r="I185" t="s">
        <v>76</v>
      </c>
      <c r="L185" t="s">
        <v>83</v>
      </c>
      <c r="M185" t="str">
        <f t="shared" si="9"/>
        <v/>
      </c>
    </row>
    <row r="186" spans="1:15" x14ac:dyDescent="0.45">
      <c r="A186">
        <v>12</v>
      </c>
      <c r="B186" t="s">
        <v>74</v>
      </c>
      <c r="C186" t="str">
        <f t="shared" si="7"/>
        <v>AW12</v>
      </c>
      <c r="E186" s="19">
        <v>45812</v>
      </c>
      <c r="F186" s="2"/>
      <c r="H186" t="s">
        <v>81</v>
      </c>
      <c r="I186" t="s">
        <v>78</v>
      </c>
      <c r="K186" t="s">
        <v>79</v>
      </c>
      <c r="L186">
        <v>0.2</v>
      </c>
      <c r="M186">
        <f t="shared" si="9"/>
        <v>3.1415926535897934E-2</v>
      </c>
      <c r="O186">
        <v>1</v>
      </c>
    </row>
    <row r="187" spans="1:15" x14ac:dyDescent="0.45">
      <c r="A187">
        <v>12</v>
      </c>
      <c r="B187" t="s">
        <v>74</v>
      </c>
      <c r="C187" t="str">
        <f t="shared" si="7"/>
        <v>AW12</v>
      </c>
      <c r="E187" s="19">
        <v>45812</v>
      </c>
      <c r="F187" s="2"/>
      <c r="H187" t="s">
        <v>81</v>
      </c>
      <c r="I187" t="s">
        <v>78</v>
      </c>
      <c r="K187" t="s">
        <v>79</v>
      </c>
      <c r="L187">
        <v>0.2</v>
      </c>
      <c r="M187">
        <f t="shared" si="9"/>
        <v>3.1415926535897934E-2</v>
      </c>
    </row>
    <row r="188" spans="1:15" x14ac:dyDescent="0.45">
      <c r="A188">
        <v>12</v>
      </c>
      <c r="B188" t="s">
        <v>74</v>
      </c>
      <c r="C188" t="str">
        <f t="shared" si="7"/>
        <v>AW12</v>
      </c>
      <c r="E188" s="19">
        <v>45812</v>
      </c>
      <c r="F188" s="2"/>
      <c r="H188" t="s">
        <v>81</v>
      </c>
      <c r="I188" t="s">
        <v>80</v>
      </c>
      <c r="K188" t="s">
        <v>77</v>
      </c>
      <c r="L188">
        <v>0.5</v>
      </c>
      <c r="M188">
        <f t="shared" si="9"/>
        <v>0.1308996938995747</v>
      </c>
    </row>
    <row r="189" spans="1:15" x14ac:dyDescent="0.45">
      <c r="A189">
        <v>12</v>
      </c>
      <c r="B189" t="s">
        <v>74</v>
      </c>
      <c r="C189" t="str">
        <f t="shared" si="7"/>
        <v>AW12</v>
      </c>
      <c r="E189" s="19">
        <v>45812</v>
      </c>
      <c r="F189" s="2"/>
      <c r="H189" t="s">
        <v>81</v>
      </c>
      <c r="I189" t="s">
        <v>80</v>
      </c>
      <c r="K189" t="s">
        <v>79</v>
      </c>
      <c r="L189">
        <v>0.4</v>
      </c>
      <c r="M189">
        <f t="shared" si="9"/>
        <v>0.12566370614359174</v>
      </c>
    </row>
    <row r="190" spans="1:15" x14ac:dyDescent="0.45">
      <c r="A190">
        <v>12</v>
      </c>
      <c r="B190" t="s">
        <v>74</v>
      </c>
      <c r="C190" t="str">
        <f t="shared" si="7"/>
        <v>AW12</v>
      </c>
      <c r="E190" s="19">
        <v>45812</v>
      </c>
      <c r="F190" s="2"/>
      <c r="H190" t="s">
        <v>81</v>
      </c>
      <c r="I190" t="s">
        <v>80</v>
      </c>
      <c r="K190" t="s">
        <v>79</v>
      </c>
      <c r="L190">
        <v>0.5</v>
      </c>
      <c r="M190">
        <f t="shared" si="9"/>
        <v>0.19634954084936207</v>
      </c>
    </row>
    <row r="191" spans="1:15" x14ac:dyDescent="0.45">
      <c r="A191">
        <v>13</v>
      </c>
      <c r="B191" t="s">
        <v>74</v>
      </c>
      <c r="C191" t="str">
        <f t="shared" si="7"/>
        <v>AW13</v>
      </c>
      <c r="E191" s="19">
        <v>45812</v>
      </c>
      <c r="F191" s="2"/>
      <c r="H191" t="s">
        <v>75</v>
      </c>
      <c r="I191" t="s">
        <v>76</v>
      </c>
      <c r="K191" t="s">
        <v>83</v>
      </c>
      <c r="M191" t="str">
        <f t="shared" si="9"/>
        <v/>
      </c>
    </row>
    <row r="192" spans="1:15" x14ac:dyDescent="0.45">
      <c r="A192">
        <v>13</v>
      </c>
      <c r="B192" t="s">
        <v>74</v>
      </c>
      <c r="C192" t="str">
        <f t="shared" si="7"/>
        <v>AW13</v>
      </c>
      <c r="E192" s="19">
        <v>45812</v>
      </c>
      <c r="F192" s="2"/>
      <c r="H192" t="s">
        <v>75</v>
      </c>
      <c r="I192" t="s">
        <v>78</v>
      </c>
      <c r="K192" t="s">
        <v>79</v>
      </c>
      <c r="L192">
        <v>0.5</v>
      </c>
      <c r="M192">
        <f t="shared" si="9"/>
        <v>0.19634954084936207</v>
      </c>
    </row>
    <row r="193" spans="1:15" x14ac:dyDescent="0.45">
      <c r="A193">
        <v>13</v>
      </c>
      <c r="B193" t="s">
        <v>74</v>
      </c>
      <c r="C193" t="str">
        <f t="shared" si="7"/>
        <v>AW13</v>
      </c>
      <c r="E193" s="19">
        <v>45812</v>
      </c>
      <c r="F193" s="2"/>
      <c r="H193" t="s">
        <v>75</v>
      </c>
      <c r="I193" t="s">
        <v>78</v>
      </c>
      <c r="K193" t="s">
        <v>79</v>
      </c>
      <c r="L193">
        <v>0.8</v>
      </c>
      <c r="M193">
        <f t="shared" si="9"/>
        <v>0.50265482457436694</v>
      </c>
    </row>
    <row r="194" spans="1:15" x14ac:dyDescent="0.45">
      <c r="A194">
        <v>13</v>
      </c>
      <c r="B194" t="s">
        <v>74</v>
      </c>
      <c r="C194" t="str">
        <f t="shared" si="7"/>
        <v>AW13</v>
      </c>
      <c r="E194" s="19">
        <v>45812</v>
      </c>
      <c r="F194" s="2"/>
      <c r="H194" t="s">
        <v>75</v>
      </c>
      <c r="I194" t="s">
        <v>78</v>
      </c>
      <c r="K194" t="s">
        <v>79</v>
      </c>
      <c r="L194">
        <v>0.5</v>
      </c>
      <c r="M194">
        <f t="shared" si="9"/>
        <v>0.19634954084936207</v>
      </c>
    </row>
    <row r="195" spans="1:15" x14ac:dyDescent="0.45">
      <c r="A195">
        <v>13</v>
      </c>
      <c r="B195" t="s">
        <v>74</v>
      </c>
      <c r="C195" t="str">
        <f t="shared" ref="C195:C258" si="10">"A" &amp; UPPER(LEFT(B195,1)) &amp; A195</f>
        <v>AW13</v>
      </c>
      <c r="E195" s="19">
        <v>45812</v>
      </c>
      <c r="F195" s="2"/>
      <c r="H195" t="s">
        <v>75</v>
      </c>
      <c r="I195" t="s">
        <v>80</v>
      </c>
      <c r="M195" t="str">
        <f t="shared" si="9"/>
        <v/>
      </c>
      <c r="O195">
        <v>2</v>
      </c>
    </row>
    <row r="196" spans="1:15" x14ac:dyDescent="0.45">
      <c r="A196">
        <v>13</v>
      </c>
      <c r="B196" t="s">
        <v>74</v>
      </c>
      <c r="C196" t="str">
        <f t="shared" si="10"/>
        <v>AW13</v>
      </c>
      <c r="E196" s="19">
        <v>45812</v>
      </c>
      <c r="F196" s="2"/>
      <c r="H196" t="s">
        <v>81</v>
      </c>
      <c r="I196" t="s">
        <v>76</v>
      </c>
      <c r="K196" t="s">
        <v>83</v>
      </c>
      <c r="M196" t="str">
        <f t="shared" si="9"/>
        <v/>
      </c>
    </row>
    <row r="197" spans="1:15" x14ac:dyDescent="0.45">
      <c r="A197">
        <v>13</v>
      </c>
      <c r="B197" t="s">
        <v>74</v>
      </c>
      <c r="C197" t="str">
        <f t="shared" si="10"/>
        <v>AW13</v>
      </c>
      <c r="E197" s="19">
        <v>45812</v>
      </c>
      <c r="F197" s="2"/>
      <c r="H197" t="s">
        <v>81</v>
      </c>
      <c r="I197" t="s">
        <v>78</v>
      </c>
      <c r="K197" t="s">
        <v>79</v>
      </c>
      <c r="L197">
        <v>1.2</v>
      </c>
      <c r="M197">
        <f t="shared" si="9"/>
        <v>1.1309733552923256</v>
      </c>
    </row>
    <row r="198" spans="1:15" x14ac:dyDescent="0.45">
      <c r="A198">
        <v>13</v>
      </c>
      <c r="B198" t="s">
        <v>74</v>
      </c>
      <c r="C198" t="str">
        <f t="shared" si="10"/>
        <v>AW13</v>
      </c>
      <c r="E198" s="19">
        <v>45812</v>
      </c>
      <c r="F198" s="2"/>
      <c r="H198" t="s">
        <v>81</v>
      </c>
      <c r="I198" t="s">
        <v>78</v>
      </c>
      <c r="K198" t="s">
        <v>79</v>
      </c>
      <c r="L198">
        <v>1.3</v>
      </c>
      <c r="M198">
        <f t="shared" si="9"/>
        <v>1.3273228961416876</v>
      </c>
    </row>
    <row r="199" spans="1:15" x14ac:dyDescent="0.45">
      <c r="A199">
        <v>13</v>
      </c>
      <c r="B199" t="s">
        <v>74</v>
      </c>
      <c r="C199" t="str">
        <f t="shared" si="10"/>
        <v>AW13</v>
      </c>
      <c r="E199" s="19">
        <v>45812</v>
      </c>
      <c r="F199" s="2"/>
      <c r="H199" t="s">
        <v>81</v>
      </c>
      <c r="I199" t="s">
        <v>80</v>
      </c>
      <c r="K199" t="s">
        <v>83</v>
      </c>
      <c r="M199" t="str">
        <f t="shared" si="9"/>
        <v/>
      </c>
    </row>
    <row r="200" spans="1:15" x14ac:dyDescent="0.45">
      <c r="A200">
        <v>15</v>
      </c>
      <c r="B200" t="s">
        <v>74</v>
      </c>
      <c r="C200" t="str">
        <f t="shared" si="10"/>
        <v>AW15</v>
      </c>
      <c r="E200" s="19">
        <v>45812</v>
      </c>
      <c r="F200" s="2"/>
      <c r="H200" t="s">
        <v>75</v>
      </c>
      <c r="I200" t="s">
        <v>76</v>
      </c>
      <c r="K200" t="s">
        <v>83</v>
      </c>
      <c r="M200" t="str">
        <f t="shared" si="9"/>
        <v/>
      </c>
    </row>
    <row r="201" spans="1:15" x14ac:dyDescent="0.45">
      <c r="A201">
        <v>15</v>
      </c>
      <c r="B201" t="s">
        <v>74</v>
      </c>
      <c r="C201" t="str">
        <f t="shared" si="10"/>
        <v>AW15</v>
      </c>
      <c r="E201" s="19">
        <v>45812</v>
      </c>
      <c r="F201" s="2"/>
      <c r="H201" t="s">
        <v>75</v>
      </c>
      <c r="I201" t="s">
        <v>78</v>
      </c>
      <c r="K201" t="s">
        <v>79</v>
      </c>
      <c r="L201">
        <v>0.2</v>
      </c>
      <c r="M201">
        <f t="shared" si="9"/>
        <v>3.1415926535897934E-2</v>
      </c>
    </row>
    <row r="202" spans="1:15" x14ac:dyDescent="0.45">
      <c r="A202">
        <v>15</v>
      </c>
      <c r="B202" t="s">
        <v>74</v>
      </c>
      <c r="C202" t="str">
        <f t="shared" si="10"/>
        <v>AW15</v>
      </c>
      <c r="E202" s="19">
        <v>45812</v>
      </c>
      <c r="F202" s="2"/>
      <c r="H202" t="s">
        <v>75</v>
      </c>
      <c r="I202" t="s">
        <v>78</v>
      </c>
      <c r="K202" t="s">
        <v>79</v>
      </c>
      <c r="L202">
        <v>0.1</v>
      </c>
      <c r="M202">
        <f t="shared" si="9"/>
        <v>7.8539816339744835E-3</v>
      </c>
    </row>
    <row r="203" spans="1:15" x14ac:dyDescent="0.45">
      <c r="A203">
        <v>15</v>
      </c>
      <c r="B203" t="s">
        <v>74</v>
      </c>
      <c r="C203" t="str">
        <f t="shared" si="10"/>
        <v>AW15</v>
      </c>
      <c r="E203" s="19">
        <v>45812</v>
      </c>
      <c r="F203" s="2"/>
      <c r="H203" t="s">
        <v>75</v>
      </c>
      <c r="I203" t="s">
        <v>80</v>
      </c>
      <c r="K203" t="s">
        <v>79</v>
      </c>
      <c r="L203">
        <v>0.4</v>
      </c>
      <c r="M203">
        <f t="shared" si="9"/>
        <v>0.12566370614359174</v>
      </c>
    </row>
    <row r="204" spans="1:15" x14ac:dyDescent="0.45">
      <c r="A204">
        <v>15</v>
      </c>
      <c r="B204" t="s">
        <v>74</v>
      </c>
      <c r="C204" t="str">
        <f t="shared" si="10"/>
        <v>AW15</v>
      </c>
      <c r="E204" s="19">
        <v>45812</v>
      </c>
      <c r="F204" s="2"/>
      <c r="H204" t="s">
        <v>75</v>
      </c>
      <c r="I204" t="s">
        <v>80</v>
      </c>
      <c r="K204" t="s">
        <v>79</v>
      </c>
      <c r="L204">
        <v>0.3</v>
      </c>
      <c r="M204">
        <f t="shared" si="9"/>
        <v>7.0685834705770348E-2</v>
      </c>
    </row>
    <row r="205" spans="1:15" x14ac:dyDescent="0.45">
      <c r="A205">
        <v>15</v>
      </c>
      <c r="B205" t="s">
        <v>74</v>
      </c>
      <c r="C205" t="str">
        <f t="shared" si="10"/>
        <v>AW15</v>
      </c>
      <c r="E205" s="19">
        <v>45812</v>
      </c>
      <c r="F205" s="2"/>
      <c r="H205" t="s">
        <v>81</v>
      </c>
      <c r="I205" t="s">
        <v>76</v>
      </c>
      <c r="K205" t="s">
        <v>83</v>
      </c>
      <c r="M205" t="str">
        <f t="shared" si="9"/>
        <v/>
      </c>
    </row>
    <row r="206" spans="1:15" x14ac:dyDescent="0.45">
      <c r="A206">
        <v>15</v>
      </c>
      <c r="B206" t="s">
        <v>74</v>
      </c>
      <c r="C206" t="str">
        <f t="shared" si="10"/>
        <v>AW15</v>
      </c>
      <c r="E206" s="19">
        <v>45812</v>
      </c>
      <c r="F206" s="2"/>
      <c r="H206" t="s">
        <v>81</v>
      </c>
      <c r="I206" t="s">
        <v>78</v>
      </c>
      <c r="K206" t="s">
        <v>79</v>
      </c>
      <c r="L206">
        <v>0.4</v>
      </c>
      <c r="M206">
        <f t="shared" si="9"/>
        <v>0.12566370614359174</v>
      </c>
      <c r="O206">
        <v>1</v>
      </c>
    </row>
    <row r="207" spans="1:15" x14ac:dyDescent="0.45">
      <c r="A207">
        <v>15</v>
      </c>
      <c r="B207" t="s">
        <v>74</v>
      </c>
      <c r="C207" t="str">
        <f t="shared" si="10"/>
        <v>AW15</v>
      </c>
      <c r="E207" s="19">
        <v>45812</v>
      </c>
      <c r="F207" s="2"/>
      <c r="H207" t="s">
        <v>81</v>
      </c>
      <c r="I207" t="s">
        <v>78</v>
      </c>
      <c r="K207" t="s">
        <v>79</v>
      </c>
      <c r="L207">
        <v>0.4</v>
      </c>
      <c r="M207">
        <f t="shared" si="9"/>
        <v>0.12566370614359174</v>
      </c>
    </row>
    <row r="208" spans="1:15" x14ac:dyDescent="0.45">
      <c r="A208">
        <v>15</v>
      </c>
      <c r="B208" t="s">
        <v>74</v>
      </c>
      <c r="C208" t="str">
        <f t="shared" si="10"/>
        <v>AW15</v>
      </c>
      <c r="E208" s="19">
        <v>45812</v>
      </c>
      <c r="F208" s="2"/>
      <c r="H208" t="s">
        <v>81</v>
      </c>
      <c r="I208" t="s">
        <v>78</v>
      </c>
      <c r="K208" t="s">
        <v>77</v>
      </c>
      <c r="L208">
        <v>0.5</v>
      </c>
      <c r="M208">
        <f t="shared" si="9"/>
        <v>0.1308996938995747</v>
      </c>
    </row>
    <row r="209" spans="1:15" x14ac:dyDescent="0.45">
      <c r="A209">
        <v>15</v>
      </c>
      <c r="B209" t="s">
        <v>74</v>
      </c>
      <c r="C209" t="str">
        <f t="shared" si="10"/>
        <v>AW15</v>
      </c>
      <c r="E209" s="19">
        <v>45812</v>
      </c>
      <c r="F209" s="2"/>
      <c r="H209" t="s">
        <v>81</v>
      </c>
      <c r="I209" t="s">
        <v>80</v>
      </c>
      <c r="K209" t="s">
        <v>79</v>
      </c>
      <c r="L209">
        <v>0.5</v>
      </c>
      <c r="M209">
        <f t="shared" si="9"/>
        <v>0.19634954084936207</v>
      </c>
      <c r="N209">
        <v>1</v>
      </c>
    </row>
    <row r="210" spans="1:15" x14ac:dyDescent="0.45">
      <c r="A210">
        <v>16</v>
      </c>
      <c r="B210" t="s">
        <v>74</v>
      </c>
      <c r="C210" t="str">
        <f t="shared" si="10"/>
        <v>AW16</v>
      </c>
      <c r="E210" s="19">
        <v>45812</v>
      </c>
      <c r="F210" s="2"/>
      <c r="H210" t="s">
        <v>75</v>
      </c>
      <c r="I210" t="s">
        <v>76</v>
      </c>
      <c r="K210" t="s">
        <v>83</v>
      </c>
      <c r="M210" t="str">
        <f t="shared" ref="M210:M273" si="11">IF(OR(L210="na", L210=""), "", IF(K210="mm", PI()*(L210/2)^2, IF(K210="ep", PI()*(L210/2)*(L210*(2/3)/2), "")))</f>
        <v/>
      </c>
    </row>
    <row r="211" spans="1:15" x14ac:dyDescent="0.45">
      <c r="A211">
        <v>16</v>
      </c>
      <c r="B211" t="s">
        <v>74</v>
      </c>
      <c r="C211" t="str">
        <f t="shared" si="10"/>
        <v>AW16</v>
      </c>
      <c r="E211" s="19">
        <v>45812</v>
      </c>
      <c r="F211" s="2"/>
      <c r="H211" t="s">
        <v>75</v>
      </c>
      <c r="I211" t="s">
        <v>78</v>
      </c>
      <c r="K211" t="s">
        <v>77</v>
      </c>
      <c r="L211">
        <v>1</v>
      </c>
      <c r="M211">
        <f t="shared" si="11"/>
        <v>0.52359877559829882</v>
      </c>
    </row>
    <row r="212" spans="1:15" x14ac:dyDescent="0.45">
      <c r="A212">
        <v>16</v>
      </c>
      <c r="B212" t="s">
        <v>74</v>
      </c>
      <c r="C212" t="str">
        <f t="shared" si="10"/>
        <v>AW16</v>
      </c>
      <c r="E212" s="19">
        <v>45812</v>
      </c>
      <c r="F212" s="2"/>
      <c r="H212" t="s">
        <v>75</v>
      </c>
      <c r="I212" t="s">
        <v>78</v>
      </c>
      <c r="K212" t="s">
        <v>77</v>
      </c>
      <c r="L212">
        <v>1</v>
      </c>
      <c r="M212">
        <f t="shared" si="11"/>
        <v>0.52359877559829882</v>
      </c>
    </row>
    <row r="213" spans="1:15" x14ac:dyDescent="0.45">
      <c r="A213">
        <v>16</v>
      </c>
      <c r="B213" t="s">
        <v>74</v>
      </c>
      <c r="C213" t="str">
        <f t="shared" si="10"/>
        <v>AW16</v>
      </c>
      <c r="E213" s="19">
        <v>45812</v>
      </c>
      <c r="F213" s="2"/>
      <c r="H213" t="s">
        <v>75</v>
      </c>
      <c r="I213" t="s">
        <v>78</v>
      </c>
      <c r="K213" t="s">
        <v>79</v>
      </c>
      <c r="L213">
        <v>0.5</v>
      </c>
      <c r="M213">
        <f t="shared" si="11"/>
        <v>0.19634954084936207</v>
      </c>
    </row>
    <row r="214" spans="1:15" x14ac:dyDescent="0.45">
      <c r="A214">
        <v>16</v>
      </c>
      <c r="B214" t="s">
        <v>74</v>
      </c>
      <c r="C214" t="str">
        <f t="shared" si="10"/>
        <v>AW16</v>
      </c>
      <c r="E214" s="19">
        <v>45812</v>
      </c>
      <c r="F214" s="2"/>
      <c r="H214" t="s">
        <v>75</v>
      </c>
      <c r="I214" t="s">
        <v>80</v>
      </c>
      <c r="K214" t="s">
        <v>77</v>
      </c>
      <c r="L214">
        <v>0.4</v>
      </c>
      <c r="M214">
        <f t="shared" si="11"/>
        <v>8.377580409572781E-2</v>
      </c>
      <c r="O214">
        <v>1</v>
      </c>
    </row>
    <row r="215" spans="1:15" x14ac:dyDescent="0.45">
      <c r="A215">
        <v>16</v>
      </c>
      <c r="B215" t="s">
        <v>74</v>
      </c>
      <c r="C215" t="str">
        <f t="shared" si="10"/>
        <v>AW16</v>
      </c>
      <c r="E215" s="19">
        <v>45812</v>
      </c>
      <c r="F215" s="2"/>
      <c r="H215" t="s">
        <v>81</v>
      </c>
      <c r="I215" t="s">
        <v>76</v>
      </c>
      <c r="K215" t="s">
        <v>79</v>
      </c>
      <c r="L215">
        <v>0.2</v>
      </c>
      <c r="M215">
        <f t="shared" si="11"/>
        <v>3.1415926535897934E-2</v>
      </c>
      <c r="O215">
        <v>1</v>
      </c>
    </row>
    <row r="216" spans="1:15" x14ac:dyDescent="0.45">
      <c r="A216">
        <v>16</v>
      </c>
      <c r="B216" t="s">
        <v>74</v>
      </c>
      <c r="C216" t="str">
        <f t="shared" si="10"/>
        <v>AW16</v>
      </c>
      <c r="E216" s="19">
        <v>45812</v>
      </c>
      <c r="F216" s="2"/>
      <c r="H216" t="s">
        <v>81</v>
      </c>
      <c r="I216" t="s">
        <v>78</v>
      </c>
      <c r="K216" t="s">
        <v>79</v>
      </c>
      <c r="L216">
        <v>0.4</v>
      </c>
      <c r="M216">
        <f t="shared" si="11"/>
        <v>0.12566370614359174</v>
      </c>
    </row>
    <row r="217" spans="1:15" x14ac:dyDescent="0.45">
      <c r="A217">
        <v>16</v>
      </c>
      <c r="B217" t="s">
        <v>74</v>
      </c>
      <c r="C217" t="str">
        <f t="shared" si="10"/>
        <v>AW16</v>
      </c>
      <c r="E217" s="19">
        <v>45812</v>
      </c>
      <c r="F217" s="2"/>
      <c r="H217" t="s">
        <v>81</v>
      </c>
      <c r="I217" t="s">
        <v>78</v>
      </c>
      <c r="K217" t="s">
        <v>79</v>
      </c>
      <c r="L217">
        <v>0.3</v>
      </c>
      <c r="M217">
        <f t="shared" si="11"/>
        <v>7.0685834705770348E-2</v>
      </c>
    </row>
    <row r="218" spans="1:15" x14ac:dyDescent="0.45">
      <c r="A218">
        <v>16</v>
      </c>
      <c r="B218" t="s">
        <v>74</v>
      </c>
      <c r="C218" t="str">
        <f t="shared" si="10"/>
        <v>AW16</v>
      </c>
      <c r="E218" s="19">
        <v>45812</v>
      </c>
      <c r="F218" s="2"/>
      <c r="H218" t="s">
        <v>81</v>
      </c>
      <c r="I218" t="s">
        <v>78</v>
      </c>
      <c r="K218" t="s">
        <v>79</v>
      </c>
      <c r="L218">
        <v>0.1</v>
      </c>
      <c r="M218">
        <f t="shared" si="11"/>
        <v>7.8539816339744835E-3</v>
      </c>
    </row>
    <row r="219" spans="1:15" x14ac:dyDescent="0.45">
      <c r="A219">
        <v>16</v>
      </c>
      <c r="B219" t="s">
        <v>74</v>
      </c>
      <c r="C219" t="str">
        <f t="shared" si="10"/>
        <v>AW16</v>
      </c>
      <c r="E219" s="19">
        <v>45812</v>
      </c>
      <c r="F219" s="2"/>
      <c r="H219" t="s">
        <v>81</v>
      </c>
      <c r="I219" t="s">
        <v>80</v>
      </c>
      <c r="K219" t="s">
        <v>79</v>
      </c>
      <c r="L219">
        <v>0.2</v>
      </c>
      <c r="M219">
        <f t="shared" si="11"/>
        <v>3.1415926535897934E-2</v>
      </c>
    </row>
    <row r="220" spans="1:15" x14ac:dyDescent="0.45">
      <c r="A220">
        <v>17</v>
      </c>
      <c r="B220" t="s">
        <v>90</v>
      </c>
      <c r="C220" t="str">
        <f t="shared" si="10"/>
        <v>AB17</v>
      </c>
      <c r="E220" s="19">
        <v>45812</v>
      </c>
      <c r="F220" s="2"/>
      <c r="H220" t="s">
        <v>75</v>
      </c>
      <c r="I220" t="s">
        <v>76</v>
      </c>
      <c r="K220" t="s">
        <v>83</v>
      </c>
      <c r="M220" t="str">
        <f t="shared" si="11"/>
        <v/>
      </c>
    </row>
    <row r="221" spans="1:15" x14ac:dyDescent="0.45">
      <c r="A221">
        <v>17</v>
      </c>
      <c r="B221" t="s">
        <v>90</v>
      </c>
      <c r="C221" t="str">
        <f t="shared" si="10"/>
        <v>AB17</v>
      </c>
      <c r="E221" s="19">
        <v>45812</v>
      </c>
      <c r="F221" s="2"/>
      <c r="H221" t="s">
        <v>75</v>
      </c>
      <c r="I221" t="s">
        <v>78</v>
      </c>
      <c r="K221" t="s">
        <v>77</v>
      </c>
      <c r="L221">
        <v>0.5</v>
      </c>
      <c r="M221">
        <f t="shared" si="11"/>
        <v>0.1308996938995747</v>
      </c>
      <c r="N221">
        <v>4</v>
      </c>
    </row>
    <row r="222" spans="1:15" x14ac:dyDescent="0.45">
      <c r="A222">
        <v>17</v>
      </c>
      <c r="B222" t="s">
        <v>90</v>
      </c>
      <c r="C222" t="str">
        <f t="shared" si="10"/>
        <v>AB17</v>
      </c>
      <c r="E222" s="19">
        <v>45812</v>
      </c>
      <c r="F222" s="2"/>
      <c r="H222" t="s">
        <v>75</v>
      </c>
      <c r="I222" t="s">
        <v>78</v>
      </c>
      <c r="K222" t="s">
        <v>79</v>
      </c>
      <c r="L222">
        <v>0.5</v>
      </c>
      <c r="M222">
        <f t="shared" si="11"/>
        <v>0.19634954084936207</v>
      </c>
    </row>
    <row r="223" spans="1:15" x14ac:dyDescent="0.45">
      <c r="A223">
        <v>17</v>
      </c>
      <c r="B223" t="s">
        <v>90</v>
      </c>
      <c r="C223" t="str">
        <f t="shared" si="10"/>
        <v>AB17</v>
      </c>
      <c r="E223" s="19">
        <v>45812</v>
      </c>
      <c r="F223" s="2"/>
      <c r="H223" t="s">
        <v>75</v>
      </c>
      <c r="I223" t="s">
        <v>78</v>
      </c>
      <c r="K223" t="s">
        <v>79</v>
      </c>
      <c r="L223">
        <v>0.3</v>
      </c>
      <c r="M223">
        <f t="shared" si="11"/>
        <v>7.0685834705770348E-2</v>
      </c>
    </row>
    <row r="224" spans="1:15" x14ac:dyDescent="0.45">
      <c r="A224">
        <v>17</v>
      </c>
      <c r="B224" t="s">
        <v>90</v>
      </c>
      <c r="C224" t="str">
        <f t="shared" si="10"/>
        <v>AB17</v>
      </c>
      <c r="E224" s="19">
        <v>45812</v>
      </c>
      <c r="F224" s="2"/>
      <c r="H224" t="s">
        <v>75</v>
      </c>
      <c r="I224" t="s">
        <v>78</v>
      </c>
      <c r="K224" t="s">
        <v>79</v>
      </c>
      <c r="L224">
        <v>0.2</v>
      </c>
      <c r="M224">
        <f t="shared" si="11"/>
        <v>3.1415926535897934E-2</v>
      </c>
    </row>
    <row r="225" spans="1:15" x14ac:dyDescent="0.45">
      <c r="A225">
        <v>17</v>
      </c>
      <c r="B225" t="s">
        <v>90</v>
      </c>
      <c r="C225" t="str">
        <f t="shared" si="10"/>
        <v>AB17</v>
      </c>
      <c r="E225" s="19">
        <v>45812</v>
      </c>
      <c r="F225" s="2"/>
      <c r="H225" t="s">
        <v>75</v>
      </c>
      <c r="I225" t="s">
        <v>80</v>
      </c>
      <c r="K225" t="s">
        <v>77</v>
      </c>
      <c r="L225">
        <v>0.5</v>
      </c>
      <c r="M225">
        <f t="shared" si="11"/>
        <v>0.1308996938995747</v>
      </c>
      <c r="N225">
        <v>3</v>
      </c>
      <c r="O225">
        <v>2</v>
      </c>
    </row>
    <row r="226" spans="1:15" x14ac:dyDescent="0.45">
      <c r="A226">
        <v>17</v>
      </c>
      <c r="B226" t="s">
        <v>90</v>
      </c>
      <c r="C226" t="str">
        <f t="shared" si="10"/>
        <v>AB17</v>
      </c>
      <c r="E226" s="19">
        <v>45812</v>
      </c>
      <c r="F226" s="2"/>
      <c r="H226" t="s">
        <v>81</v>
      </c>
      <c r="I226" t="s">
        <v>76</v>
      </c>
      <c r="K226" t="s">
        <v>77</v>
      </c>
      <c r="L226">
        <v>0.4</v>
      </c>
      <c r="M226">
        <f t="shared" si="11"/>
        <v>8.377580409572781E-2</v>
      </c>
    </row>
    <row r="227" spans="1:15" x14ac:dyDescent="0.45">
      <c r="A227">
        <v>17</v>
      </c>
      <c r="B227" t="s">
        <v>90</v>
      </c>
      <c r="C227" t="str">
        <f t="shared" si="10"/>
        <v>AB17</v>
      </c>
      <c r="E227" s="19">
        <v>45812</v>
      </c>
      <c r="F227" s="2"/>
      <c r="H227" t="s">
        <v>81</v>
      </c>
      <c r="I227" t="s">
        <v>78</v>
      </c>
      <c r="K227" t="s">
        <v>79</v>
      </c>
      <c r="L227">
        <v>0.5</v>
      </c>
      <c r="M227">
        <f t="shared" si="11"/>
        <v>0.19634954084936207</v>
      </c>
    </row>
    <row r="228" spans="1:15" x14ac:dyDescent="0.45">
      <c r="A228">
        <v>17</v>
      </c>
      <c r="B228" t="s">
        <v>90</v>
      </c>
      <c r="C228" t="str">
        <f t="shared" si="10"/>
        <v>AB17</v>
      </c>
      <c r="E228" s="19">
        <v>45812</v>
      </c>
      <c r="F228" s="2"/>
      <c r="H228" t="s">
        <v>81</v>
      </c>
      <c r="I228" t="s">
        <v>78</v>
      </c>
      <c r="K228" t="s">
        <v>79</v>
      </c>
      <c r="L228">
        <v>0.3</v>
      </c>
      <c r="M228">
        <f t="shared" si="11"/>
        <v>7.0685834705770348E-2</v>
      </c>
    </row>
    <row r="229" spans="1:15" x14ac:dyDescent="0.45">
      <c r="A229">
        <v>17</v>
      </c>
      <c r="B229" t="s">
        <v>90</v>
      </c>
      <c r="C229" t="str">
        <f t="shared" si="10"/>
        <v>AB17</v>
      </c>
      <c r="E229" s="19">
        <v>45812</v>
      </c>
      <c r="F229" s="2"/>
      <c r="H229" t="s">
        <v>81</v>
      </c>
      <c r="I229" t="s">
        <v>78</v>
      </c>
      <c r="K229" t="s">
        <v>79</v>
      </c>
      <c r="L229">
        <v>0.2</v>
      </c>
      <c r="M229">
        <f t="shared" si="11"/>
        <v>3.1415926535897934E-2</v>
      </c>
    </row>
    <row r="230" spans="1:15" x14ac:dyDescent="0.45">
      <c r="A230">
        <v>17</v>
      </c>
      <c r="B230" t="s">
        <v>90</v>
      </c>
      <c r="C230" t="str">
        <f t="shared" si="10"/>
        <v>AB17</v>
      </c>
      <c r="E230" s="19">
        <v>45812</v>
      </c>
      <c r="F230" s="2"/>
      <c r="H230" t="s">
        <v>81</v>
      </c>
      <c r="I230" t="s">
        <v>78</v>
      </c>
      <c r="K230" t="s">
        <v>77</v>
      </c>
      <c r="L230">
        <v>1</v>
      </c>
      <c r="M230">
        <f t="shared" si="11"/>
        <v>0.52359877559829882</v>
      </c>
    </row>
    <row r="231" spans="1:15" x14ac:dyDescent="0.45">
      <c r="A231">
        <v>17</v>
      </c>
      <c r="B231" t="s">
        <v>90</v>
      </c>
      <c r="C231" t="str">
        <f t="shared" si="10"/>
        <v>AB17</v>
      </c>
      <c r="E231" s="19">
        <v>45812</v>
      </c>
      <c r="F231" s="2"/>
      <c r="H231" t="s">
        <v>81</v>
      </c>
      <c r="I231" t="s">
        <v>80</v>
      </c>
      <c r="K231" t="s">
        <v>77</v>
      </c>
      <c r="L231">
        <v>0.5</v>
      </c>
      <c r="M231">
        <f t="shared" si="11"/>
        <v>0.1308996938995747</v>
      </c>
      <c r="N231">
        <v>5</v>
      </c>
      <c r="O231">
        <v>1</v>
      </c>
    </row>
    <row r="232" spans="1:15" x14ac:dyDescent="0.45">
      <c r="A232">
        <v>18</v>
      </c>
      <c r="B232" t="s">
        <v>90</v>
      </c>
      <c r="C232" t="str">
        <f t="shared" si="10"/>
        <v>AB18</v>
      </c>
      <c r="E232" s="19">
        <v>45812</v>
      </c>
      <c r="F232" s="2"/>
      <c r="H232" t="s">
        <v>75</v>
      </c>
      <c r="I232" t="s">
        <v>76</v>
      </c>
      <c r="K232" t="s">
        <v>83</v>
      </c>
      <c r="M232" t="str">
        <f t="shared" si="11"/>
        <v/>
      </c>
    </row>
    <row r="233" spans="1:15" x14ac:dyDescent="0.45">
      <c r="A233">
        <v>18</v>
      </c>
      <c r="B233" t="s">
        <v>90</v>
      </c>
      <c r="C233" t="str">
        <f t="shared" si="10"/>
        <v>AB18</v>
      </c>
      <c r="E233" s="19">
        <v>45812</v>
      </c>
      <c r="F233" s="2"/>
      <c r="H233" t="s">
        <v>75</v>
      </c>
      <c r="I233" t="s">
        <v>78</v>
      </c>
      <c r="K233" t="s">
        <v>79</v>
      </c>
      <c r="L233">
        <v>1</v>
      </c>
      <c r="M233">
        <f t="shared" si="11"/>
        <v>0.78539816339744828</v>
      </c>
    </row>
    <row r="234" spans="1:15" x14ac:dyDescent="0.45">
      <c r="A234">
        <v>18</v>
      </c>
      <c r="B234" t="s">
        <v>90</v>
      </c>
      <c r="C234" t="str">
        <f t="shared" si="10"/>
        <v>AB18</v>
      </c>
      <c r="E234" s="19">
        <v>45812</v>
      </c>
      <c r="F234" s="2"/>
      <c r="H234" t="s">
        <v>75</v>
      </c>
      <c r="I234" t="s">
        <v>78</v>
      </c>
      <c r="K234" t="s">
        <v>79</v>
      </c>
      <c r="L234">
        <v>0.3</v>
      </c>
      <c r="M234">
        <f t="shared" si="11"/>
        <v>7.0685834705770348E-2</v>
      </c>
    </row>
    <row r="235" spans="1:15" x14ac:dyDescent="0.45">
      <c r="A235">
        <v>18</v>
      </c>
      <c r="B235" t="s">
        <v>90</v>
      </c>
      <c r="C235" t="str">
        <f t="shared" si="10"/>
        <v>AB18</v>
      </c>
      <c r="E235" s="19">
        <v>45812</v>
      </c>
      <c r="F235" s="2"/>
      <c r="H235" t="s">
        <v>75</v>
      </c>
      <c r="I235" t="s">
        <v>78</v>
      </c>
      <c r="K235" t="s">
        <v>79</v>
      </c>
      <c r="L235">
        <v>0.3</v>
      </c>
      <c r="M235">
        <f t="shared" si="11"/>
        <v>7.0685834705770348E-2</v>
      </c>
    </row>
    <row r="236" spans="1:15" x14ac:dyDescent="0.45">
      <c r="A236">
        <v>18</v>
      </c>
      <c r="B236" t="s">
        <v>90</v>
      </c>
      <c r="C236" t="str">
        <f t="shared" si="10"/>
        <v>AB18</v>
      </c>
      <c r="E236" s="19">
        <v>45812</v>
      </c>
      <c r="F236" s="2"/>
      <c r="H236" t="s">
        <v>75</v>
      </c>
      <c r="I236" t="s">
        <v>80</v>
      </c>
      <c r="K236" t="s">
        <v>83</v>
      </c>
      <c r="M236" t="str">
        <f t="shared" si="11"/>
        <v/>
      </c>
    </row>
    <row r="237" spans="1:15" x14ac:dyDescent="0.45">
      <c r="A237">
        <v>18</v>
      </c>
      <c r="B237" t="s">
        <v>90</v>
      </c>
      <c r="C237" t="str">
        <f t="shared" si="10"/>
        <v>AB18</v>
      </c>
      <c r="E237" s="19">
        <v>45812</v>
      </c>
      <c r="F237" s="2"/>
      <c r="H237" t="s">
        <v>81</v>
      </c>
      <c r="I237" t="s">
        <v>76</v>
      </c>
      <c r="K237" t="s">
        <v>83</v>
      </c>
      <c r="M237" t="str">
        <f t="shared" si="11"/>
        <v/>
      </c>
    </row>
    <row r="238" spans="1:15" x14ac:dyDescent="0.45">
      <c r="A238">
        <v>18</v>
      </c>
      <c r="B238" t="s">
        <v>90</v>
      </c>
      <c r="C238" t="str">
        <f t="shared" si="10"/>
        <v>AB18</v>
      </c>
      <c r="E238" s="19">
        <v>45812</v>
      </c>
      <c r="F238" s="2"/>
      <c r="H238" t="s">
        <v>81</v>
      </c>
      <c r="I238" t="s">
        <v>78</v>
      </c>
      <c r="K238" t="s">
        <v>79</v>
      </c>
      <c r="L238">
        <v>0.4</v>
      </c>
      <c r="M238">
        <f t="shared" si="11"/>
        <v>0.12566370614359174</v>
      </c>
    </row>
    <row r="239" spans="1:15" x14ac:dyDescent="0.45">
      <c r="A239">
        <v>18</v>
      </c>
      <c r="B239" t="s">
        <v>90</v>
      </c>
      <c r="C239" t="str">
        <f t="shared" si="10"/>
        <v>AB18</v>
      </c>
      <c r="E239" s="19">
        <v>45812</v>
      </c>
      <c r="F239" s="2"/>
      <c r="H239" t="s">
        <v>81</v>
      </c>
      <c r="I239" t="s">
        <v>80</v>
      </c>
      <c r="K239" t="s">
        <v>79</v>
      </c>
      <c r="L239">
        <v>1</v>
      </c>
      <c r="M239">
        <f t="shared" si="11"/>
        <v>0.78539816339744828</v>
      </c>
    </row>
    <row r="240" spans="1:15" x14ac:dyDescent="0.45">
      <c r="A240">
        <v>18</v>
      </c>
      <c r="B240" t="s">
        <v>90</v>
      </c>
      <c r="C240" t="str">
        <f t="shared" si="10"/>
        <v>AB18</v>
      </c>
      <c r="E240" s="19">
        <v>45812</v>
      </c>
      <c r="F240" s="2"/>
      <c r="H240" t="s">
        <v>81</v>
      </c>
      <c r="I240" t="s">
        <v>80</v>
      </c>
      <c r="K240" t="s">
        <v>77</v>
      </c>
      <c r="L240">
        <v>0.5</v>
      </c>
      <c r="M240">
        <f t="shared" si="11"/>
        <v>0.1308996938995747</v>
      </c>
    </row>
    <row r="241" spans="1:15" x14ac:dyDescent="0.45">
      <c r="A241">
        <v>18</v>
      </c>
      <c r="B241" t="s">
        <v>90</v>
      </c>
      <c r="C241" t="str">
        <f t="shared" si="10"/>
        <v>AB18</v>
      </c>
      <c r="E241" s="19">
        <v>45812</v>
      </c>
      <c r="F241" s="2"/>
      <c r="H241" t="s">
        <v>81</v>
      </c>
      <c r="I241" t="s">
        <v>80</v>
      </c>
      <c r="K241" t="s">
        <v>77</v>
      </c>
      <c r="L241">
        <v>0.4</v>
      </c>
      <c r="M241">
        <f t="shared" si="11"/>
        <v>8.377580409572781E-2</v>
      </c>
    </row>
    <row r="242" spans="1:15" x14ac:dyDescent="0.45">
      <c r="A242">
        <v>19</v>
      </c>
      <c r="B242" t="s">
        <v>90</v>
      </c>
      <c r="C242" t="str">
        <f t="shared" si="10"/>
        <v>AB19</v>
      </c>
      <c r="E242" s="19">
        <v>45812</v>
      </c>
      <c r="F242" s="2"/>
      <c r="H242" t="s">
        <v>75</v>
      </c>
      <c r="I242" t="s">
        <v>76</v>
      </c>
      <c r="K242" t="s">
        <v>83</v>
      </c>
      <c r="M242" t="str">
        <f t="shared" si="11"/>
        <v/>
      </c>
    </row>
    <row r="243" spans="1:15" x14ac:dyDescent="0.45">
      <c r="A243">
        <v>19</v>
      </c>
      <c r="B243" t="s">
        <v>90</v>
      </c>
      <c r="C243" t="str">
        <f t="shared" si="10"/>
        <v>AB19</v>
      </c>
      <c r="E243" s="19">
        <v>45812</v>
      </c>
      <c r="F243" s="2"/>
      <c r="H243" t="s">
        <v>75</v>
      </c>
      <c r="I243" t="s">
        <v>78</v>
      </c>
      <c r="M243" t="str">
        <f t="shared" si="11"/>
        <v/>
      </c>
      <c r="N243">
        <v>2</v>
      </c>
      <c r="O243">
        <v>1</v>
      </c>
    </row>
    <row r="244" spans="1:15" x14ac:dyDescent="0.45">
      <c r="A244">
        <v>19</v>
      </c>
      <c r="B244" t="s">
        <v>90</v>
      </c>
      <c r="C244" t="str">
        <f t="shared" si="10"/>
        <v>AB19</v>
      </c>
      <c r="E244" s="19">
        <v>45812</v>
      </c>
      <c r="F244" s="2"/>
      <c r="H244" t="s">
        <v>75</v>
      </c>
      <c r="I244" t="s">
        <v>80</v>
      </c>
      <c r="K244" t="s">
        <v>79</v>
      </c>
      <c r="L244">
        <v>0.2</v>
      </c>
      <c r="M244">
        <f t="shared" si="11"/>
        <v>3.1415926535897934E-2</v>
      </c>
    </row>
    <row r="245" spans="1:15" x14ac:dyDescent="0.45">
      <c r="A245">
        <v>19</v>
      </c>
      <c r="B245" t="s">
        <v>90</v>
      </c>
      <c r="C245" t="str">
        <f t="shared" si="10"/>
        <v>AB19</v>
      </c>
      <c r="E245" s="19">
        <v>45812</v>
      </c>
      <c r="F245" s="2"/>
      <c r="H245" t="s">
        <v>81</v>
      </c>
      <c r="I245" t="s">
        <v>76</v>
      </c>
      <c r="K245" t="s">
        <v>83</v>
      </c>
      <c r="M245" t="str">
        <f t="shared" si="11"/>
        <v/>
      </c>
    </row>
    <row r="246" spans="1:15" x14ac:dyDescent="0.45">
      <c r="A246">
        <v>19</v>
      </c>
      <c r="B246" t="s">
        <v>90</v>
      </c>
      <c r="C246" t="str">
        <f t="shared" si="10"/>
        <v>AB19</v>
      </c>
      <c r="E246" s="19">
        <v>45812</v>
      </c>
      <c r="F246" s="2"/>
      <c r="H246" t="s">
        <v>81</v>
      </c>
      <c r="I246" t="s">
        <v>78</v>
      </c>
      <c r="K246" t="s">
        <v>79</v>
      </c>
      <c r="L246">
        <v>0.2</v>
      </c>
      <c r="M246">
        <f t="shared" si="11"/>
        <v>3.1415926535897934E-2</v>
      </c>
    </row>
    <row r="247" spans="1:15" x14ac:dyDescent="0.45">
      <c r="A247">
        <v>19</v>
      </c>
      <c r="B247" t="s">
        <v>90</v>
      </c>
      <c r="C247" t="str">
        <f t="shared" si="10"/>
        <v>AB19</v>
      </c>
      <c r="E247" s="19">
        <v>45812</v>
      </c>
      <c r="F247" s="2"/>
      <c r="H247" t="s">
        <v>81</v>
      </c>
      <c r="I247" t="s">
        <v>78</v>
      </c>
      <c r="K247" t="s">
        <v>79</v>
      </c>
      <c r="L247">
        <v>0.1</v>
      </c>
      <c r="M247">
        <f t="shared" si="11"/>
        <v>7.8539816339744835E-3</v>
      </c>
    </row>
    <row r="248" spans="1:15" x14ac:dyDescent="0.45">
      <c r="A248">
        <v>19</v>
      </c>
      <c r="B248" t="s">
        <v>90</v>
      </c>
      <c r="C248" t="str">
        <f t="shared" si="10"/>
        <v>AB19</v>
      </c>
      <c r="E248" s="19">
        <v>45812</v>
      </c>
      <c r="F248" s="2"/>
      <c r="H248" t="s">
        <v>81</v>
      </c>
      <c r="I248" t="s">
        <v>80</v>
      </c>
      <c r="K248" t="s">
        <v>79</v>
      </c>
      <c r="L248">
        <v>0.8</v>
      </c>
      <c r="M248">
        <f t="shared" si="11"/>
        <v>0.50265482457436694</v>
      </c>
    </row>
    <row r="249" spans="1:15" x14ac:dyDescent="0.45">
      <c r="A249">
        <v>20</v>
      </c>
      <c r="B249" t="s">
        <v>90</v>
      </c>
      <c r="C249" t="str">
        <f t="shared" si="10"/>
        <v>AB20</v>
      </c>
      <c r="E249" s="19">
        <v>45812</v>
      </c>
      <c r="F249" s="2"/>
      <c r="H249" t="s">
        <v>75</v>
      </c>
      <c r="I249" t="s">
        <v>76</v>
      </c>
      <c r="K249" t="s">
        <v>83</v>
      </c>
      <c r="M249" t="str">
        <f t="shared" si="11"/>
        <v/>
      </c>
    </row>
    <row r="250" spans="1:15" x14ac:dyDescent="0.45">
      <c r="A250">
        <v>20</v>
      </c>
      <c r="B250" t="s">
        <v>90</v>
      </c>
      <c r="C250" t="str">
        <f t="shared" si="10"/>
        <v>AB20</v>
      </c>
      <c r="E250" s="19">
        <v>45812</v>
      </c>
      <c r="F250" s="2"/>
      <c r="H250" t="s">
        <v>75</v>
      </c>
      <c r="I250" t="s">
        <v>78</v>
      </c>
      <c r="K250" t="s">
        <v>79</v>
      </c>
      <c r="L250">
        <v>0.5</v>
      </c>
      <c r="M250">
        <f t="shared" si="11"/>
        <v>0.19634954084936207</v>
      </c>
    </row>
    <row r="251" spans="1:15" x14ac:dyDescent="0.45">
      <c r="A251">
        <v>20</v>
      </c>
      <c r="B251" t="s">
        <v>90</v>
      </c>
      <c r="C251" t="str">
        <f t="shared" si="10"/>
        <v>AB20</v>
      </c>
      <c r="E251" s="19">
        <v>45812</v>
      </c>
      <c r="F251" s="2"/>
      <c r="H251" t="s">
        <v>75</v>
      </c>
      <c r="I251" t="s">
        <v>78</v>
      </c>
      <c r="K251" t="s">
        <v>79</v>
      </c>
      <c r="L251">
        <v>0.3</v>
      </c>
      <c r="M251">
        <f t="shared" si="11"/>
        <v>7.0685834705770348E-2</v>
      </c>
    </row>
    <row r="252" spans="1:15" x14ac:dyDescent="0.45">
      <c r="A252">
        <v>20</v>
      </c>
      <c r="B252" t="s">
        <v>90</v>
      </c>
      <c r="C252" t="str">
        <f t="shared" si="10"/>
        <v>AB20</v>
      </c>
      <c r="E252" s="19">
        <v>45812</v>
      </c>
      <c r="F252" s="2"/>
      <c r="H252" t="s">
        <v>75</v>
      </c>
      <c r="I252" t="s">
        <v>80</v>
      </c>
      <c r="K252" t="s">
        <v>83</v>
      </c>
      <c r="M252" t="str">
        <f t="shared" si="11"/>
        <v/>
      </c>
    </row>
    <row r="253" spans="1:15" x14ac:dyDescent="0.45">
      <c r="A253">
        <v>20</v>
      </c>
      <c r="B253" t="s">
        <v>90</v>
      </c>
      <c r="C253" t="str">
        <f t="shared" si="10"/>
        <v>AB20</v>
      </c>
      <c r="E253" s="19">
        <v>45812</v>
      </c>
      <c r="F253" s="2"/>
      <c r="H253" t="s">
        <v>81</v>
      </c>
      <c r="I253" t="s">
        <v>76</v>
      </c>
      <c r="K253" t="s">
        <v>79</v>
      </c>
      <c r="L253">
        <v>0.5</v>
      </c>
      <c r="M253">
        <f t="shared" si="11"/>
        <v>0.19634954084936207</v>
      </c>
    </row>
    <row r="254" spans="1:15" x14ac:dyDescent="0.45">
      <c r="A254">
        <v>20</v>
      </c>
      <c r="B254" t="s">
        <v>90</v>
      </c>
      <c r="C254" t="str">
        <f t="shared" si="10"/>
        <v>AB20</v>
      </c>
      <c r="E254" s="19">
        <v>45812</v>
      </c>
      <c r="F254" s="2"/>
      <c r="H254" t="s">
        <v>81</v>
      </c>
      <c r="I254" t="s">
        <v>76</v>
      </c>
      <c r="K254" t="s">
        <v>79</v>
      </c>
      <c r="L254">
        <v>0.2</v>
      </c>
      <c r="M254">
        <f t="shared" si="11"/>
        <v>3.1415926535897934E-2</v>
      </c>
    </row>
    <row r="255" spans="1:15" x14ac:dyDescent="0.45">
      <c r="A255">
        <v>20</v>
      </c>
      <c r="B255" t="s">
        <v>90</v>
      </c>
      <c r="C255" t="str">
        <f t="shared" si="10"/>
        <v>AB20</v>
      </c>
      <c r="E255" s="19">
        <v>45812</v>
      </c>
      <c r="F255" s="2"/>
      <c r="H255" t="s">
        <v>81</v>
      </c>
      <c r="I255" t="s">
        <v>76</v>
      </c>
      <c r="K255" t="s">
        <v>79</v>
      </c>
      <c r="L255">
        <v>0.2</v>
      </c>
      <c r="M255">
        <f t="shared" si="11"/>
        <v>3.1415926535897934E-2</v>
      </c>
    </row>
    <row r="256" spans="1:15" x14ac:dyDescent="0.45">
      <c r="A256">
        <v>20</v>
      </c>
      <c r="B256" t="s">
        <v>90</v>
      </c>
      <c r="C256" t="str">
        <f t="shared" si="10"/>
        <v>AB20</v>
      </c>
      <c r="E256" s="19">
        <v>45812</v>
      </c>
      <c r="F256" s="2"/>
      <c r="H256" t="s">
        <v>81</v>
      </c>
      <c r="I256" t="s">
        <v>78</v>
      </c>
      <c r="K256" t="s">
        <v>79</v>
      </c>
      <c r="L256">
        <v>0.8</v>
      </c>
      <c r="M256">
        <f t="shared" si="11"/>
        <v>0.50265482457436694</v>
      </c>
    </row>
    <row r="257" spans="1:15" x14ac:dyDescent="0.45">
      <c r="A257">
        <v>20</v>
      </c>
      <c r="B257" t="s">
        <v>90</v>
      </c>
      <c r="C257" t="str">
        <f t="shared" si="10"/>
        <v>AB20</v>
      </c>
      <c r="E257" s="19">
        <v>45812</v>
      </c>
      <c r="F257" s="2"/>
      <c r="H257" t="s">
        <v>81</v>
      </c>
      <c r="I257" t="s">
        <v>80</v>
      </c>
      <c r="K257" t="s">
        <v>83</v>
      </c>
      <c r="M257" t="str">
        <f t="shared" si="11"/>
        <v/>
      </c>
    </row>
    <row r="258" spans="1:15" x14ac:dyDescent="0.45">
      <c r="A258">
        <v>21</v>
      </c>
      <c r="B258" t="s">
        <v>90</v>
      </c>
      <c r="C258" t="str">
        <f t="shared" si="10"/>
        <v>AB21</v>
      </c>
      <c r="E258" s="19">
        <v>45812</v>
      </c>
      <c r="F258" s="2"/>
      <c r="H258" t="s">
        <v>75</v>
      </c>
      <c r="I258" t="s">
        <v>76</v>
      </c>
      <c r="K258" t="s">
        <v>77</v>
      </c>
      <c r="L258">
        <v>1</v>
      </c>
      <c r="M258">
        <f t="shared" si="11"/>
        <v>0.52359877559829882</v>
      </c>
    </row>
    <row r="259" spans="1:15" x14ac:dyDescent="0.45">
      <c r="A259">
        <v>21</v>
      </c>
      <c r="B259" t="s">
        <v>90</v>
      </c>
      <c r="C259" t="str">
        <f t="shared" ref="C259:C322" si="12">"A" &amp; UPPER(LEFT(B259,1)) &amp; A259</f>
        <v>AB21</v>
      </c>
      <c r="E259" s="19">
        <v>45812</v>
      </c>
      <c r="F259" s="2"/>
      <c r="H259" t="s">
        <v>75</v>
      </c>
      <c r="I259" t="s">
        <v>78</v>
      </c>
      <c r="K259" t="s">
        <v>79</v>
      </c>
      <c r="L259">
        <v>0.5</v>
      </c>
      <c r="M259">
        <f t="shared" si="11"/>
        <v>0.19634954084936207</v>
      </c>
    </row>
    <row r="260" spans="1:15" x14ac:dyDescent="0.45">
      <c r="A260">
        <v>21</v>
      </c>
      <c r="B260" t="s">
        <v>90</v>
      </c>
      <c r="C260" t="str">
        <f t="shared" si="12"/>
        <v>AB21</v>
      </c>
      <c r="E260" s="19">
        <v>45812</v>
      </c>
      <c r="F260" s="2"/>
      <c r="H260" t="s">
        <v>75</v>
      </c>
      <c r="I260" t="s">
        <v>80</v>
      </c>
      <c r="K260" t="s">
        <v>77</v>
      </c>
      <c r="L260">
        <v>2</v>
      </c>
      <c r="M260">
        <f t="shared" si="11"/>
        <v>2.0943951023931953</v>
      </c>
    </row>
    <row r="261" spans="1:15" x14ac:dyDescent="0.45">
      <c r="A261">
        <v>21</v>
      </c>
      <c r="B261" t="s">
        <v>90</v>
      </c>
      <c r="C261" t="str">
        <f t="shared" si="12"/>
        <v>AB21</v>
      </c>
      <c r="E261" s="19">
        <v>45812</v>
      </c>
      <c r="F261" s="2"/>
      <c r="H261" t="s">
        <v>81</v>
      </c>
      <c r="I261" t="s">
        <v>76</v>
      </c>
      <c r="L261" t="s">
        <v>83</v>
      </c>
      <c r="M261" t="str">
        <f t="shared" si="11"/>
        <v/>
      </c>
    </row>
    <row r="262" spans="1:15" x14ac:dyDescent="0.45">
      <c r="A262">
        <v>21</v>
      </c>
      <c r="B262" t="s">
        <v>90</v>
      </c>
      <c r="C262" t="str">
        <f t="shared" si="12"/>
        <v>AB21</v>
      </c>
      <c r="E262" s="19">
        <v>45812</v>
      </c>
      <c r="F262" s="2"/>
      <c r="H262" t="s">
        <v>81</v>
      </c>
      <c r="I262" t="s">
        <v>78</v>
      </c>
      <c r="L262" t="s">
        <v>83</v>
      </c>
      <c r="M262" t="str">
        <f t="shared" si="11"/>
        <v/>
      </c>
    </row>
    <row r="263" spans="1:15" x14ac:dyDescent="0.45">
      <c r="A263">
        <v>21</v>
      </c>
      <c r="B263" t="s">
        <v>90</v>
      </c>
      <c r="C263" t="str">
        <f t="shared" si="12"/>
        <v>AB21</v>
      </c>
      <c r="E263" s="19">
        <v>45812</v>
      </c>
      <c r="F263" s="2"/>
      <c r="H263" t="s">
        <v>81</v>
      </c>
      <c r="I263" t="s">
        <v>80</v>
      </c>
      <c r="L263" t="s">
        <v>83</v>
      </c>
      <c r="M263" t="str">
        <f t="shared" si="11"/>
        <v/>
      </c>
    </row>
    <row r="264" spans="1:15" x14ac:dyDescent="0.45">
      <c r="A264">
        <v>23</v>
      </c>
      <c r="B264" t="s">
        <v>90</v>
      </c>
      <c r="C264" t="str">
        <f t="shared" si="12"/>
        <v>AB23</v>
      </c>
      <c r="E264" s="19">
        <v>45812</v>
      </c>
      <c r="F264" s="2"/>
      <c r="H264" t="s">
        <v>75</v>
      </c>
      <c r="I264" t="s">
        <v>76</v>
      </c>
      <c r="K264" t="s">
        <v>79</v>
      </c>
      <c r="L264">
        <v>0.5</v>
      </c>
      <c r="M264">
        <f t="shared" si="11"/>
        <v>0.19634954084936207</v>
      </c>
    </row>
    <row r="265" spans="1:15" x14ac:dyDescent="0.45">
      <c r="A265">
        <v>23</v>
      </c>
      <c r="B265" t="s">
        <v>90</v>
      </c>
      <c r="C265" t="str">
        <f t="shared" si="12"/>
        <v>AB23</v>
      </c>
      <c r="E265" s="19">
        <v>45812</v>
      </c>
      <c r="F265" s="2"/>
      <c r="H265" t="s">
        <v>75</v>
      </c>
      <c r="I265" t="s">
        <v>78</v>
      </c>
      <c r="K265" t="s">
        <v>79</v>
      </c>
      <c r="L265">
        <v>0.5</v>
      </c>
      <c r="M265">
        <f t="shared" si="11"/>
        <v>0.19634954084936207</v>
      </c>
    </row>
    <row r="266" spans="1:15" x14ac:dyDescent="0.45">
      <c r="A266">
        <v>23</v>
      </c>
      <c r="B266" t="s">
        <v>90</v>
      </c>
      <c r="C266" t="str">
        <f t="shared" si="12"/>
        <v>AB23</v>
      </c>
      <c r="E266" s="19">
        <v>45812</v>
      </c>
      <c r="F266" s="2"/>
      <c r="H266" t="s">
        <v>75</v>
      </c>
      <c r="I266" t="s">
        <v>80</v>
      </c>
      <c r="L266" t="s">
        <v>83</v>
      </c>
      <c r="M266" t="str">
        <f t="shared" si="11"/>
        <v/>
      </c>
    </row>
    <row r="267" spans="1:15" x14ac:dyDescent="0.45">
      <c r="A267">
        <v>23</v>
      </c>
      <c r="B267" t="s">
        <v>90</v>
      </c>
      <c r="C267" t="str">
        <f t="shared" si="12"/>
        <v>AB23</v>
      </c>
      <c r="E267" s="19">
        <v>45812</v>
      </c>
      <c r="F267" s="2"/>
      <c r="H267" t="s">
        <v>81</v>
      </c>
      <c r="I267" t="s">
        <v>76</v>
      </c>
      <c r="M267" t="str">
        <f t="shared" si="11"/>
        <v/>
      </c>
      <c r="O267">
        <v>1</v>
      </c>
    </row>
    <row r="268" spans="1:15" x14ac:dyDescent="0.45">
      <c r="A268">
        <v>23</v>
      </c>
      <c r="B268" t="s">
        <v>90</v>
      </c>
      <c r="C268" t="str">
        <f t="shared" si="12"/>
        <v>AB23</v>
      </c>
      <c r="E268" s="19">
        <v>45812</v>
      </c>
      <c r="F268" s="2"/>
      <c r="H268" t="s">
        <v>81</v>
      </c>
      <c r="I268" t="s">
        <v>78</v>
      </c>
      <c r="L268" t="s">
        <v>83</v>
      </c>
      <c r="M268" t="str">
        <f t="shared" si="11"/>
        <v/>
      </c>
    </row>
    <row r="269" spans="1:15" x14ac:dyDescent="0.45">
      <c r="A269">
        <v>23</v>
      </c>
      <c r="B269" t="s">
        <v>90</v>
      </c>
      <c r="C269" t="str">
        <f t="shared" si="12"/>
        <v>AB23</v>
      </c>
      <c r="E269" s="19">
        <v>45812</v>
      </c>
      <c r="F269" s="2"/>
      <c r="H269" t="s">
        <v>81</v>
      </c>
      <c r="I269" t="s">
        <v>80</v>
      </c>
      <c r="K269" t="s">
        <v>79</v>
      </c>
      <c r="L269">
        <v>0.1</v>
      </c>
      <c r="M269">
        <f t="shared" si="11"/>
        <v>7.8539816339744835E-3</v>
      </c>
    </row>
    <row r="270" spans="1:15" x14ac:dyDescent="0.45">
      <c r="A270">
        <v>23</v>
      </c>
      <c r="B270" t="s">
        <v>90</v>
      </c>
      <c r="C270" t="str">
        <f t="shared" si="12"/>
        <v>AB23</v>
      </c>
      <c r="E270" s="19">
        <v>45812</v>
      </c>
      <c r="F270" s="2"/>
      <c r="H270" t="s">
        <v>81</v>
      </c>
      <c r="I270" t="s">
        <v>80</v>
      </c>
      <c r="K270" t="s">
        <v>79</v>
      </c>
      <c r="L270">
        <v>0.4</v>
      </c>
      <c r="M270">
        <f t="shared" si="11"/>
        <v>0.12566370614359174</v>
      </c>
    </row>
    <row r="271" spans="1:15" x14ac:dyDescent="0.45">
      <c r="A271">
        <v>23</v>
      </c>
      <c r="B271" t="s">
        <v>90</v>
      </c>
      <c r="C271" t="str">
        <f t="shared" si="12"/>
        <v>AB23</v>
      </c>
      <c r="E271" s="19">
        <v>45812</v>
      </c>
      <c r="F271" s="2"/>
      <c r="H271" t="s">
        <v>81</v>
      </c>
      <c r="I271" t="s">
        <v>78</v>
      </c>
      <c r="K271" t="s">
        <v>77</v>
      </c>
      <c r="L271">
        <v>0.4</v>
      </c>
      <c r="M271">
        <f t="shared" si="11"/>
        <v>8.377580409572781E-2</v>
      </c>
    </row>
    <row r="272" spans="1:15" x14ac:dyDescent="0.45">
      <c r="A272">
        <v>23</v>
      </c>
      <c r="B272" t="s">
        <v>90</v>
      </c>
      <c r="C272" t="str">
        <f t="shared" si="12"/>
        <v>AB23</v>
      </c>
      <c r="E272" s="19">
        <v>45812</v>
      </c>
      <c r="F272" s="2"/>
      <c r="H272" t="s">
        <v>81</v>
      </c>
      <c r="I272" t="s">
        <v>80</v>
      </c>
      <c r="K272" t="s">
        <v>79</v>
      </c>
      <c r="L272">
        <v>0.6</v>
      </c>
      <c r="M272">
        <f t="shared" si="11"/>
        <v>0.28274333882308139</v>
      </c>
      <c r="N272">
        <v>10</v>
      </c>
    </row>
    <row r="273" spans="1:14" x14ac:dyDescent="0.45">
      <c r="A273">
        <v>23</v>
      </c>
      <c r="B273" t="s">
        <v>90</v>
      </c>
      <c r="C273" t="str">
        <f t="shared" si="12"/>
        <v>AB23</v>
      </c>
      <c r="E273" s="19">
        <v>45812</v>
      </c>
      <c r="F273" s="2"/>
      <c r="H273" t="s">
        <v>81</v>
      </c>
      <c r="I273" t="s">
        <v>80</v>
      </c>
      <c r="K273" t="s">
        <v>79</v>
      </c>
      <c r="L273">
        <v>0.4</v>
      </c>
      <c r="M273">
        <f t="shared" si="11"/>
        <v>0.12566370614359174</v>
      </c>
    </row>
    <row r="274" spans="1:14" x14ac:dyDescent="0.45">
      <c r="A274">
        <v>23</v>
      </c>
      <c r="B274" t="s">
        <v>90</v>
      </c>
      <c r="C274" t="str">
        <f t="shared" si="12"/>
        <v>AB23</v>
      </c>
      <c r="E274" s="19">
        <v>45812</v>
      </c>
      <c r="F274" s="2"/>
      <c r="H274" t="s">
        <v>81</v>
      </c>
      <c r="I274" t="s">
        <v>80</v>
      </c>
      <c r="K274" t="s">
        <v>79</v>
      </c>
      <c r="L274">
        <v>1</v>
      </c>
      <c r="M274">
        <f t="shared" ref="M274:M337" si="13">IF(OR(L274="na", L274=""), "", IF(K274="mm", PI()*(L274/2)^2, IF(K274="ep", PI()*(L274/2)*(L274*(2/3)/2), "")))</f>
        <v>0.78539816339744828</v>
      </c>
    </row>
    <row r="275" spans="1:14" x14ac:dyDescent="0.45">
      <c r="A275">
        <v>23</v>
      </c>
      <c r="B275" t="s">
        <v>90</v>
      </c>
      <c r="C275" t="str">
        <f t="shared" si="12"/>
        <v>AB23</v>
      </c>
      <c r="E275" s="19">
        <v>45812</v>
      </c>
      <c r="F275" s="2"/>
      <c r="H275" t="s">
        <v>81</v>
      </c>
      <c r="I275" t="s">
        <v>80</v>
      </c>
      <c r="K275" t="s">
        <v>79</v>
      </c>
      <c r="L275">
        <v>0.3</v>
      </c>
      <c r="M275">
        <f t="shared" si="13"/>
        <v>7.0685834705770348E-2</v>
      </c>
    </row>
    <row r="276" spans="1:14" x14ac:dyDescent="0.45">
      <c r="A276">
        <v>24</v>
      </c>
      <c r="B276" t="s">
        <v>90</v>
      </c>
      <c r="C276" t="str">
        <f t="shared" si="12"/>
        <v>AB24</v>
      </c>
      <c r="E276" s="19">
        <v>45812</v>
      </c>
      <c r="F276" s="2"/>
      <c r="H276" t="s">
        <v>75</v>
      </c>
      <c r="I276" t="s">
        <v>76</v>
      </c>
      <c r="K276" t="s">
        <v>83</v>
      </c>
      <c r="M276" t="str">
        <f t="shared" si="13"/>
        <v/>
      </c>
    </row>
    <row r="277" spans="1:14" x14ac:dyDescent="0.45">
      <c r="A277">
        <v>24</v>
      </c>
      <c r="B277" t="s">
        <v>90</v>
      </c>
      <c r="C277" t="str">
        <f t="shared" si="12"/>
        <v>AB24</v>
      </c>
      <c r="E277" s="19">
        <v>45812</v>
      </c>
      <c r="F277" s="2"/>
      <c r="H277" t="s">
        <v>75</v>
      </c>
      <c r="I277" t="s">
        <v>78</v>
      </c>
      <c r="K277" t="s">
        <v>83</v>
      </c>
      <c r="M277" t="str">
        <f t="shared" si="13"/>
        <v/>
      </c>
    </row>
    <row r="278" spans="1:14" x14ac:dyDescent="0.45">
      <c r="A278">
        <v>24</v>
      </c>
      <c r="B278" t="s">
        <v>90</v>
      </c>
      <c r="C278" t="str">
        <f t="shared" si="12"/>
        <v>AB24</v>
      </c>
      <c r="E278" s="19">
        <v>45812</v>
      </c>
      <c r="F278" s="2"/>
      <c r="H278" t="s">
        <v>75</v>
      </c>
      <c r="I278" t="s">
        <v>80</v>
      </c>
      <c r="K278" t="s">
        <v>77</v>
      </c>
      <c r="L278">
        <v>0.5</v>
      </c>
      <c r="M278">
        <f t="shared" si="13"/>
        <v>0.1308996938995747</v>
      </c>
    </row>
    <row r="279" spans="1:14" x14ac:dyDescent="0.45">
      <c r="A279">
        <v>24</v>
      </c>
      <c r="B279" t="s">
        <v>90</v>
      </c>
      <c r="C279" t="str">
        <f t="shared" si="12"/>
        <v>AB24</v>
      </c>
      <c r="E279" s="19">
        <v>45812</v>
      </c>
      <c r="F279" s="2"/>
      <c r="H279" t="s">
        <v>81</v>
      </c>
      <c r="I279" t="s">
        <v>76</v>
      </c>
      <c r="K279" t="s">
        <v>83</v>
      </c>
      <c r="M279" t="str">
        <f t="shared" si="13"/>
        <v/>
      </c>
    </row>
    <row r="280" spans="1:14" x14ac:dyDescent="0.45">
      <c r="A280">
        <v>24</v>
      </c>
      <c r="B280" t="s">
        <v>90</v>
      </c>
      <c r="C280" t="str">
        <f t="shared" si="12"/>
        <v>AB24</v>
      </c>
      <c r="E280" s="19">
        <v>45812</v>
      </c>
      <c r="F280" s="2"/>
      <c r="H280" t="s">
        <v>81</v>
      </c>
      <c r="I280" t="s">
        <v>78</v>
      </c>
      <c r="K280" t="s">
        <v>79</v>
      </c>
      <c r="L280">
        <v>0.1</v>
      </c>
      <c r="M280">
        <f t="shared" si="13"/>
        <v>7.8539816339744835E-3</v>
      </c>
      <c r="N280">
        <v>4</v>
      </c>
    </row>
    <row r="281" spans="1:14" x14ac:dyDescent="0.45">
      <c r="A281">
        <v>24</v>
      </c>
      <c r="B281" t="s">
        <v>90</v>
      </c>
      <c r="C281" t="str">
        <f t="shared" si="12"/>
        <v>AB24</v>
      </c>
      <c r="E281" s="19">
        <v>45812</v>
      </c>
      <c r="F281" s="2"/>
      <c r="H281" t="s">
        <v>81</v>
      </c>
      <c r="I281" t="s">
        <v>80</v>
      </c>
      <c r="K281" t="s">
        <v>77</v>
      </c>
      <c r="L281">
        <v>1</v>
      </c>
      <c r="M281">
        <f t="shared" si="13"/>
        <v>0.52359877559829882</v>
      </c>
    </row>
    <row r="282" spans="1:14" x14ac:dyDescent="0.45">
      <c r="A282">
        <v>24</v>
      </c>
      <c r="B282" t="s">
        <v>90</v>
      </c>
      <c r="C282" t="str">
        <f t="shared" si="12"/>
        <v>AB24</v>
      </c>
      <c r="E282" s="19">
        <v>45812</v>
      </c>
      <c r="F282" s="2"/>
      <c r="H282" t="s">
        <v>81</v>
      </c>
      <c r="I282" t="s">
        <v>80</v>
      </c>
      <c r="K282" t="s">
        <v>77</v>
      </c>
      <c r="L282">
        <v>0.8</v>
      </c>
      <c r="M282">
        <f t="shared" si="13"/>
        <v>0.33510321638291124</v>
      </c>
    </row>
    <row r="283" spans="1:14" x14ac:dyDescent="0.45">
      <c r="A283">
        <v>24</v>
      </c>
      <c r="B283" t="s">
        <v>90</v>
      </c>
      <c r="C283" t="str">
        <f t="shared" si="12"/>
        <v>AB24</v>
      </c>
      <c r="E283" s="19">
        <v>45812</v>
      </c>
      <c r="F283" s="2"/>
      <c r="H283" t="s">
        <v>81</v>
      </c>
      <c r="I283" t="s">
        <v>80</v>
      </c>
      <c r="K283" t="s">
        <v>77</v>
      </c>
      <c r="L283">
        <v>0.3</v>
      </c>
      <c r="M283">
        <f t="shared" si="13"/>
        <v>4.7123889803846894E-2</v>
      </c>
    </row>
    <row r="284" spans="1:14" x14ac:dyDescent="0.45">
      <c r="A284">
        <v>24</v>
      </c>
      <c r="B284" t="s">
        <v>90</v>
      </c>
      <c r="C284" t="str">
        <f t="shared" si="12"/>
        <v>AB24</v>
      </c>
      <c r="E284" s="19">
        <v>45812</v>
      </c>
      <c r="F284" s="2"/>
      <c r="H284" t="s">
        <v>81</v>
      </c>
      <c r="I284" t="s">
        <v>80</v>
      </c>
      <c r="K284" t="s">
        <v>77</v>
      </c>
      <c r="L284">
        <v>0.3</v>
      </c>
      <c r="M284">
        <f t="shared" si="13"/>
        <v>4.7123889803846894E-2</v>
      </c>
    </row>
    <row r="285" spans="1:14" x14ac:dyDescent="0.45">
      <c r="A285">
        <v>24</v>
      </c>
      <c r="B285" t="s">
        <v>90</v>
      </c>
      <c r="C285" t="str">
        <f t="shared" si="12"/>
        <v>AB24</v>
      </c>
      <c r="E285" s="19">
        <v>45812</v>
      </c>
      <c r="F285" s="2"/>
      <c r="H285" t="s">
        <v>81</v>
      </c>
      <c r="I285" t="s">
        <v>80</v>
      </c>
      <c r="K285" t="s">
        <v>77</v>
      </c>
      <c r="L285">
        <v>0.8</v>
      </c>
      <c r="M285">
        <f t="shared" si="13"/>
        <v>0.33510321638291124</v>
      </c>
    </row>
    <row r="286" spans="1:14" x14ac:dyDescent="0.45">
      <c r="A286">
        <v>24</v>
      </c>
      <c r="B286" t="s">
        <v>90</v>
      </c>
      <c r="C286" t="str">
        <f t="shared" si="12"/>
        <v>AB24</v>
      </c>
      <c r="E286" s="19">
        <v>45812</v>
      </c>
      <c r="F286" s="2"/>
      <c r="H286" t="s">
        <v>81</v>
      </c>
      <c r="I286" t="s">
        <v>80</v>
      </c>
      <c r="K286" t="s">
        <v>79</v>
      </c>
      <c r="L286">
        <v>0.2</v>
      </c>
      <c r="M286">
        <f t="shared" si="13"/>
        <v>3.1415926535897934E-2</v>
      </c>
    </row>
    <row r="287" spans="1:14" x14ac:dyDescent="0.45">
      <c r="A287">
        <v>24</v>
      </c>
      <c r="B287" t="s">
        <v>90</v>
      </c>
      <c r="C287" t="str">
        <f t="shared" si="12"/>
        <v>AB24</v>
      </c>
      <c r="E287" s="19">
        <v>45812</v>
      </c>
      <c r="F287" s="2"/>
      <c r="H287" t="s">
        <v>81</v>
      </c>
      <c r="I287" t="s">
        <v>80</v>
      </c>
      <c r="K287" t="s">
        <v>79</v>
      </c>
      <c r="L287">
        <v>0.1</v>
      </c>
      <c r="M287">
        <f t="shared" si="13"/>
        <v>7.8539816339744835E-3</v>
      </c>
    </row>
    <row r="288" spans="1:14" x14ac:dyDescent="0.45">
      <c r="A288">
        <v>25</v>
      </c>
      <c r="B288" t="s">
        <v>90</v>
      </c>
      <c r="C288" t="str">
        <f t="shared" si="12"/>
        <v>AB25</v>
      </c>
      <c r="E288" s="19">
        <v>45812</v>
      </c>
      <c r="F288" s="2"/>
      <c r="H288" t="s">
        <v>75</v>
      </c>
      <c r="I288" t="s">
        <v>76</v>
      </c>
      <c r="M288" t="str">
        <f t="shared" si="13"/>
        <v/>
      </c>
      <c r="N288" s="18">
        <v>0.3</v>
      </c>
    </row>
    <row r="289" spans="1:15" x14ac:dyDescent="0.45">
      <c r="A289">
        <v>25</v>
      </c>
      <c r="B289" t="s">
        <v>90</v>
      </c>
      <c r="C289" t="str">
        <f t="shared" si="12"/>
        <v>AB25</v>
      </c>
      <c r="E289" s="19">
        <v>45812</v>
      </c>
      <c r="F289" s="2"/>
      <c r="H289" t="s">
        <v>75</v>
      </c>
      <c r="I289" t="s">
        <v>78</v>
      </c>
      <c r="K289" t="s">
        <v>77</v>
      </c>
      <c r="L289">
        <v>0.5</v>
      </c>
      <c r="M289">
        <f t="shared" si="13"/>
        <v>0.1308996938995747</v>
      </c>
    </row>
    <row r="290" spans="1:15" x14ac:dyDescent="0.45">
      <c r="A290">
        <v>25</v>
      </c>
      <c r="B290" t="s">
        <v>90</v>
      </c>
      <c r="C290" t="str">
        <f t="shared" si="12"/>
        <v>AB25</v>
      </c>
      <c r="E290" s="19">
        <v>45812</v>
      </c>
      <c r="F290" s="2"/>
      <c r="H290" t="s">
        <v>75</v>
      </c>
      <c r="I290" t="s">
        <v>80</v>
      </c>
      <c r="K290" t="s">
        <v>77</v>
      </c>
      <c r="L290">
        <v>1</v>
      </c>
      <c r="M290">
        <f t="shared" si="13"/>
        <v>0.52359877559829882</v>
      </c>
      <c r="N290">
        <v>6</v>
      </c>
    </row>
    <row r="291" spans="1:15" x14ac:dyDescent="0.45">
      <c r="A291">
        <v>25</v>
      </c>
      <c r="B291" t="s">
        <v>90</v>
      </c>
      <c r="C291" t="str">
        <f t="shared" si="12"/>
        <v>AB25</v>
      </c>
      <c r="E291" s="19">
        <v>45812</v>
      </c>
      <c r="F291" s="2"/>
      <c r="H291" t="s">
        <v>81</v>
      </c>
      <c r="I291" t="s">
        <v>76</v>
      </c>
      <c r="L291" t="s">
        <v>83</v>
      </c>
      <c r="M291" t="str">
        <f t="shared" si="13"/>
        <v/>
      </c>
    </row>
    <row r="292" spans="1:15" x14ac:dyDescent="0.45">
      <c r="A292">
        <v>25</v>
      </c>
      <c r="B292" t="s">
        <v>90</v>
      </c>
      <c r="C292" t="str">
        <f t="shared" si="12"/>
        <v>AB25</v>
      </c>
      <c r="E292" s="19">
        <v>45812</v>
      </c>
      <c r="F292" s="2"/>
      <c r="H292" t="s">
        <v>81</v>
      </c>
      <c r="I292" t="s">
        <v>78</v>
      </c>
      <c r="M292" t="str">
        <f t="shared" si="13"/>
        <v/>
      </c>
      <c r="N292">
        <v>6</v>
      </c>
      <c r="O292">
        <v>1</v>
      </c>
    </row>
    <row r="293" spans="1:15" x14ac:dyDescent="0.45">
      <c r="A293">
        <v>25</v>
      </c>
      <c r="B293" t="s">
        <v>90</v>
      </c>
      <c r="C293" t="str">
        <f t="shared" si="12"/>
        <v>AB25</v>
      </c>
      <c r="E293" s="19">
        <v>45812</v>
      </c>
      <c r="F293" s="2"/>
      <c r="H293" t="s">
        <v>81</v>
      </c>
      <c r="I293" t="s">
        <v>80</v>
      </c>
      <c r="L293" t="s">
        <v>83</v>
      </c>
      <c r="M293" t="str">
        <f t="shared" si="13"/>
        <v/>
      </c>
      <c r="N293">
        <v>6</v>
      </c>
    </row>
    <row r="294" spans="1:15" x14ac:dyDescent="0.45">
      <c r="A294">
        <v>26</v>
      </c>
      <c r="B294" t="s">
        <v>90</v>
      </c>
      <c r="C294" t="str">
        <f t="shared" si="12"/>
        <v>AB26</v>
      </c>
      <c r="E294" s="19">
        <v>45812</v>
      </c>
      <c r="F294" s="2"/>
      <c r="H294" t="s">
        <v>75</v>
      </c>
      <c r="I294" t="s">
        <v>76</v>
      </c>
      <c r="K294" t="s">
        <v>83</v>
      </c>
      <c r="M294" t="str">
        <f t="shared" si="13"/>
        <v/>
      </c>
    </row>
    <row r="295" spans="1:15" x14ac:dyDescent="0.45">
      <c r="A295">
        <v>26</v>
      </c>
      <c r="B295" t="s">
        <v>90</v>
      </c>
      <c r="C295" t="str">
        <f t="shared" si="12"/>
        <v>AB26</v>
      </c>
      <c r="E295" s="19">
        <v>45812</v>
      </c>
      <c r="F295" s="2"/>
      <c r="H295" t="s">
        <v>75</v>
      </c>
      <c r="I295" t="s">
        <v>78</v>
      </c>
      <c r="K295" t="s">
        <v>83</v>
      </c>
      <c r="M295" t="str">
        <f t="shared" si="13"/>
        <v/>
      </c>
    </row>
    <row r="296" spans="1:15" x14ac:dyDescent="0.45">
      <c r="A296">
        <v>26</v>
      </c>
      <c r="B296" t="s">
        <v>90</v>
      </c>
      <c r="C296" t="str">
        <f t="shared" si="12"/>
        <v>AB26</v>
      </c>
      <c r="E296" s="19">
        <v>45812</v>
      </c>
      <c r="F296" s="2"/>
      <c r="H296" t="s">
        <v>75</v>
      </c>
      <c r="I296" t="s">
        <v>80</v>
      </c>
      <c r="K296" t="s">
        <v>79</v>
      </c>
      <c r="L296">
        <v>0.3</v>
      </c>
      <c r="M296">
        <f t="shared" si="13"/>
        <v>7.0685834705770348E-2</v>
      </c>
    </row>
    <row r="297" spans="1:15" x14ac:dyDescent="0.45">
      <c r="A297">
        <v>26</v>
      </c>
      <c r="B297" t="s">
        <v>90</v>
      </c>
      <c r="C297" t="str">
        <f t="shared" si="12"/>
        <v>AB26</v>
      </c>
      <c r="E297" s="19">
        <v>45812</v>
      </c>
      <c r="F297" s="2"/>
      <c r="H297" t="s">
        <v>81</v>
      </c>
      <c r="I297" t="s">
        <v>76</v>
      </c>
      <c r="K297" t="s">
        <v>83</v>
      </c>
      <c r="M297" t="str">
        <f t="shared" si="13"/>
        <v/>
      </c>
    </row>
    <row r="298" spans="1:15" x14ac:dyDescent="0.45">
      <c r="A298">
        <v>26</v>
      </c>
      <c r="B298" t="s">
        <v>90</v>
      </c>
      <c r="C298" t="str">
        <f t="shared" si="12"/>
        <v>AB26</v>
      </c>
      <c r="E298" s="19">
        <v>45812</v>
      </c>
      <c r="F298" s="2"/>
      <c r="H298" t="s">
        <v>81</v>
      </c>
      <c r="I298" t="s">
        <v>78</v>
      </c>
      <c r="K298" t="s">
        <v>79</v>
      </c>
      <c r="L298">
        <v>1.2</v>
      </c>
      <c r="M298">
        <f t="shared" si="13"/>
        <v>1.1309733552923256</v>
      </c>
    </row>
    <row r="299" spans="1:15" x14ac:dyDescent="0.45">
      <c r="A299">
        <v>26</v>
      </c>
      <c r="B299" t="s">
        <v>90</v>
      </c>
      <c r="C299" t="str">
        <f t="shared" si="12"/>
        <v>AB26</v>
      </c>
      <c r="E299" s="19">
        <v>45812</v>
      </c>
      <c r="F299" s="2"/>
      <c r="H299" t="s">
        <v>81</v>
      </c>
      <c r="I299" t="s">
        <v>78</v>
      </c>
      <c r="K299" t="s">
        <v>79</v>
      </c>
      <c r="L299">
        <v>1.3</v>
      </c>
      <c r="M299">
        <f t="shared" si="13"/>
        <v>1.3273228961416876</v>
      </c>
    </row>
    <row r="300" spans="1:15" x14ac:dyDescent="0.45">
      <c r="A300">
        <v>26</v>
      </c>
      <c r="B300" t="s">
        <v>90</v>
      </c>
      <c r="C300" t="str">
        <f t="shared" si="12"/>
        <v>AB26</v>
      </c>
      <c r="E300" s="19">
        <v>45812</v>
      </c>
      <c r="F300" s="2"/>
      <c r="H300" t="s">
        <v>81</v>
      </c>
      <c r="I300" t="s">
        <v>80</v>
      </c>
      <c r="K300" t="s">
        <v>83</v>
      </c>
      <c r="M300" t="str">
        <f t="shared" si="13"/>
        <v/>
      </c>
    </row>
    <row r="301" spans="1:15" x14ac:dyDescent="0.45">
      <c r="A301">
        <v>27</v>
      </c>
      <c r="B301" t="s">
        <v>90</v>
      </c>
      <c r="C301" t="str">
        <f t="shared" si="12"/>
        <v>AB27</v>
      </c>
      <c r="E301" s="19">
        <v>45812</v>
      </c>
      <c r="F301" s="2"/>
      <c r="H301" t="s">
        <v>75</v>
      </c>
      <c r="I301" t="s">
        <v>76</v>
      </c>
      <c r="K301" t="s">
        <v>83</v>
      </c>
      <c r="M301" t="str">
        <f t="shared" si="13"/>
        <v/>
      </c>
    </row>
    <row r="302" spans="1:15" x14ac:dyDescent="0.45">
      <c r="A302">
        <v>27</v>
      </c>
      <c r="B302" t="s">
        <v>90</v>
      </c>
      <c r="C302" t="str">
        <f t="shared" si="12"/>
        <v>AB27</v>
      </c>
      <c r="E302" s="19">
        <v>45812</v>
      </c>
      <c r="F302" s="2"/>
      <c r="H302" t="s">
        <v>75</v>
      </c>
      <c r="I302" t="s">
        <v>78</v>
      </c>
      <c r="K302" t="s">
        <v>83</v>
      </c>
      <c r="M302" t="str">
        <f t="shared" si="13"/>
        <v/>
      </c>
    </row>
    <row r="303" spans="1:15" x14ac:dyDescent="0.45">
      <c r="A303">
        <v>27</v>
      </c>
      <c r="B303" t="s">
        <v>90</v>
      </c>
      <c r="C303" t="str">
        <f t="shared" si="12"/>
        <v>AB27</v>
      </c>
      <c r="E303" s="19">
        <v>45812</v>
      </c>
      <c r="F303" s="2"/>
      <c r="H303" t="s">
        <v>75</v>
      </c>
      <c r="I303" t="s">
        <v>80</v>
      </c>
      <c r="K303" t="s">
        <v>77</v>
      </c>
      <c r="L303">
        <v>0.5</v>
      </c>
      <c r="M303">
        <f t="shared" si="13"/>
        <v>0.1308996938995747</v>
      </c>
      <c r="O303">
        <v>1</v>
      </c>
    </row>
    <row r="304" spans="1:15" x14ac:dyDescent="0.45">
      <c r="A304">
        <v>27</v>
      </c>
      <c r="B304" t="s">
        <v>90</v>
      </c>
      <c r="C304" t="str">
        <f t="shared" si="12"/>
        <v>AB27</v>
      </c>
      <c r="E304" s="19">
        <v>45812</v>
      </c>
      <c r="F304" s="2"/>
      <c r="H304" t="s">
        <v>75</v>
      </c>
      <c r="I304" t="s">
        <v>80</v>
      </c>
      <c r="K304" t="s">
        <v>77</v>
      </c>
      <c r="L304">
        <v>0.5</v>
      </c>
      <c r="M304">
        <f t="shared" si="13"/>
        <v>0.1308996938995747</v>
      </c>
    </row>
    <row r="305" spans="1:15" x14ac:dyDescent="0.45">
      <c r="A305">
        <v>27</v>
      </c>
      <c r="B305" t="s">
        <v>90</v>
      </c>
      <c r="C305" t="str">
        <f t="shared" si="12"/>
        <v>AB27</v>
      </c>
      <c r="E305" s="19">
        <v>45812</v>
      </c>
      <c r="F305" s="2"/>
      <c r="H305" t="s">
        <v>81</v>
      </c>
      <c r="I305" t="s">
        <v>76</v>
      </c>
      <c r="M305" t="str">
        <f t="shared" si="13"/>
        <v/>
      </c>
      <c r="O305">
        <v>1</v>
      </c>
    </row>
    <row r="306" spans="1:15" x14ac:dyDescent="0.45">
      <c r="A306">
        <v>27</v>
      </c>
      <c r="B306" t="s">
        <v>90</v>
      </c>
      <c r="C306" t="str">
        <f t="shared" si="12"/>
        <v>AB27</v>
      </c>
      <c r="E306" s="19">
        <v>45812</v>
      </c>
      <c r="F306" s="2"/>
      <c r="H306" t="s">
        <v>81</v>
      </c>
      <c r="I306" t="s">
        <v>78</v>
      </c>
      <c r="K306" t="s">
        <v>83</v>
      </c>
      <c r="M306" t="str">
        <f t="shared" si="13"/>
        <v/>
      </c>
    </row>
    <row r="307" spans="1:15" x14ac:dyDescent="0.45">
      <c r="A307">
        <v>27</v>
      </c>
      <c r="B307" t="s">
        <v>90</v>
      </c>
      <c r="C307" t="str">
        <f t="shared" si="12"/>
        <v>AB27</v>
      </c>
      <c r="E307" s="19">
        <v>45812</v>
      </c>
      <c r="F307" s="2"/>
      <c r="H307" t="s">
        <v>81</v>
      </c>
      <c r="I307" t="s">
        <v>80</v>
      </c>
      <c r="K307" t="s">
        <v>83</v>
      </c>
      <c r="M307" t="str">
        <f t="shared" si="13"/>
        <v/>
      </c>
    </row>
    <row r="308" spans="1:15" x14ac:dyDescent="0.45">
      <c r="A308">
        <v>28</v>
      </c>
      <c r="B308" t="s">
        <v>90</v>
      </c>
      <c r="C308" t="str">
        <f t="shared" si="12"/>
        <v>AB28</v>
      </c>
      <c r="E308" s="19">
        <v>45812</v>
      </c>
      <c r="F308" s="2"/>
      <c r="H308" t="s">
        <v>75</v>
      </c>
      <c r="I308" t="s">
        <v>76</v>
      </c>
      <c r="K308" t="s">
        <v>83</v>
      </c>
      <c r="M308" t="str">
        <f t="shared" si="13"/>
        <v/>
      </c>
    </row>
    <row r="309" spans="1:15" x14ac:dyDescent="0.45">
      <c r="A309">
        <v>28</v>
      </c>
      <c r="B309" t="s">
        <v>90</v>
      </c>
      <c r="C309" t="str">
        <f t="shared" si="12"/>
        <v>AB28</v>
      </c>
      <c r="E309" s="19">
        <v>45812</v>
      </c>
      <c r="F309" s="2"/>
      <c r="H309" t="s">
        <v>75</v>
      </c>
      <c r="I309" t="s">
        <v>78</v>
      </c>
      <c r="K309" t="s">
        <v>77</v>
      </c>
      <c r="L309">
        <v>0.5</v>
      </c>
      <c r="M309">
        <f t="shared" si="13"/>
        <v>0.1308996938995747</v>
      </c>
      <c r="N309">
        <v>4</v>
      </c>
    </row>
    <row r="310" spans="1:15" x14ac:dyDescent="0.45">
      <c r="A310">
        <v>28</v>
      </c>
      <c r="B310" t="s">
        <v>90</v>
      </c>
      <c r="C310" t="str">
        <f t="shared" si="12"/>
        <v>AB28</v>
      </c>
      <c r="E310" s="19">
        <v>45812</v>
      </c>
      <c r="F310" s="2"/>
      <c r="H310" t="s">
        <v>75</v>
      </c>
      <c r="I310" t="s">
        <v>78</v>
      </c>
      <c r="K310" t="s">
        <v>79</v>
      </c>
      <c r="L310">
        <v>0.5</v>
      </c>
      <c r="M310">
        <f t="shared" si="13"/>
        <v>0.19634954084936207</v>
      </c>
    </row>
    <row r="311" spans="1:15" x14ac:dyDescent="0.45">
      <c r="A311">
        <v>28</v>
      </c>
      <c r="B311" t="s">
        <v>90</v>
      </c>
      <c r="C311" t="str">
        <f t="shared" si="12"/>
        <v>AB28</v>
      </c>
      <c r="E311" s="19">
        <v>45812</v>
      </c>
      <c r="F311" s="2"/>
      <c r="H311" t="s">
        <v>75</v>
      </c>
      <c r="I311" t="s">
        <v>78</v>
      </c>
      <c r="K311" t="s">
        <v>79</v>
      </c>
      <c r="L311">
        <v>0.3</v>
      </c>
      <c r="M311">
        <f t="shared" si="13"/>
        <v>7.0685834705770348E-2</v>
      </c>
    </row>
    <row r="312" spans="1:15" x14ac:dyDescent="0.45">
      <c r="A312">
        <v>28</v>
      </c>
      <c r="B312" t="s">
        <v>90</v>
      </c>
      <c r="C312" t="str">
        <f t="shared" si="12"/>
        <v>AB28</v>
      </c>
      <c r="E312" s="19">
        <v>45812</v>
      </c>
      <c r="F312" s="2"/>
      <c r="H312" t="s">
        <v>75</v>
      </c>
      <c r="I312" t="s">
        <v>78</v>
      </c>
      <c r="K312" t="s">
        <v>79</v>
      </c>
      <c r="L312">
        <v>0.2</v>
      </c>
      <c r="M312">
        <f t="shared" si="13"/>
        <v>3.1415926535897934E-2</v>
      </c>
    </row>
    <row r="313" spans="1:15" x14ac:dyDescent="0.45">
      <c r="A313">
        <v>28</v>
      </c>
      <c r="B313" t="s">
        <v>90</v>
      </c>
      <c r="C313" t="str">
        <f t="shared" si="12"/>
        <v>AB28</v>
      </c>
      <c r="E313" s="19">
        <v>45812</v>
      </c>
      <c r="F313" s="2"/>
      <c r="H313" t="s">
        <v>81</v>
      </c>
      <c r="I313" t="s">
        <v>76</v>
      </c>
      <c r="K313" t="s">
        <v>83</v>
      </c>
      <c r="M313" t="str">
        <f t="shared" si="13"/>
        <v/>
      </c>
    </row>
    <row r="314" spans="1:15" x14ac:dyDescent="0.45">
      <c r="A314">
        <v>28</v>
      </c>
      <c r="B314" t="s">
        <v>90</v>
      </c>
      <c r="C314" t="str">
        <f t="shared" si="12"/>
        <v>AB28</v>
      </c>
      <c r="E314" s="19">
        <v>45812</v>
      </c>
      <c r="F314" s="2"/>
      <c r="H314" t="s">
        <v>81</v>
      </c>
      <c r="I314" t="s">
        <v>78</v>
      </c>
      <c r="K314" t="s">
        <v>77</v>
      </c>
      <c r="L314">
        <v>0.4</v>
      </c>
      <c r="M314">
        <f t="shared" si="13"/>
        <v>8.377580409572781E-2</v>
      </c>
    </row>
    <row r="315" spans="1:15" x14ac:dyDescent="0.45">
      <c r="A315">
        <v>28</v>
      </c>
      <c r="B315" t="s">
        <v>90</v>
      </c>
      <c r="C315" t="str">
        <f t="shared" si="12"/>
        <v>AB28</v>
      </c>
      <c r="E315" s="19">
        <v>45812</v>
      </c>
      <c r="F315" s="2"/>
      <c r="H315" t="s">
        <v>81</v>
      </c>
      <c r="I315" t="s">
        <v>78</v>
      </c>
      <c r="K315" t="s">
        <v>77</v>
      </c>
      <c r="L315">
        <v>0.4</v>
      </c>
      <c r="M315">
        <f t="shared" si="13"/>
        <v>8.377580409572781E-2</v>
      </c>
    </row>
    <row r="316" spans="1:15" x14ac:dyDescent="0.45">
      <c r="A316">
        <v>28</v>
      </c>
      <c r="B316" t="s">
        <v>90</v>
      </c>
      <c r="C316" t="str">
        <f t="shared" si="12"/>
        <v>AB28</v>
      </c>
      <c r="E316" s="19">
        <v>45812</v>
      </c>
      <c r="F316" s="2"/>
      <c r="H316" t="s">
        <v>81</v>
      </c>
      <c r="I316" t="s">
        <v>78</v>
      </c>
      <c r="K316" t="s">
        <v>79</v>
      </c>
      <c r="L316">
        <v>0.3</v>
      </c>
      <c r="M316">
        <f t="shared" si="13"/>
        <v>7.0685834705770348E-2</v>
      </c>
    </row>
    <row r="317" spans="1:15" x14ac:dyDescent="0.45">
      <c r="A317">
        <v>28</v>
      </c>
      <c r="B317" t="s">
        <v>90</v>
      </c>
      <c r="C317" t="str">
        <f t="shared" si="12"/>
        <v>AB28</v>
      </c>
      <c r="E317" s="19">
        <v>45812</v>
      </c>
      <c r="F317" s="2"/>
      <c r="H317" t="s">
        <v>81</v>
      </c>
      <c r="I317" t="s">
        <v>80</v>
      </c>
      <c r="K317" t="s">
        <v>83</v>
      </c>
      <c r="M317" t="str">
        <f t="shared" si="13"/>
        <v/>
      </c>
    </row>
    <row r="318" spans="1:15" x14ac:dyDescent="0.45">
      <c r="A318">
        <v>30</v>
      </c>
      <c r="B318" t="s">
        <v>90</v>
      </c>
      <c r="C318" t="str">
        <f t="shared" si="12"/>
        <v>AB30</v>
      </c>
      <c r="E318" s="19">
        <v>45812</v>
      </c>
      <c r="F318" s="2"/>
      <c r="H318" t="s">
        <v>75</v>
      </c>
      <c r="I318" t="s">
        <v>76</v>
      </c>
      <c r="K318" t="s">
        <v>83</v>
      </c>
      <c r="M318" t="str">
        <f t="shared" si="13"/>
        <v/>
      </c>
    </row>
    <row r="319" spans="1:15" x14ac:dyDescent="0.45">
      <c r="A319">
        <v>30</v>
      </c>
      <c r="B319" t="s">
        <v>90</v>
      </c>
      <c r="C319" t="str">
        <f t="shared" si="12"/>
        <v>AB30</v>
      </c>
      <c r="E319" s="19">
        <v>45812</v>
      </c>
      <c r="F319" s="2"/>
      <c r="H319" t="s">
        <v>75</v>
      </c>
      <c r="I319" t="s">
        <v>78</v>
      </c>
      <c r="K319" t="s">
        <v>79</v>
      </c>
      <c r="L319">
        <v>0.5</v>
      </c>
      <c r="M319">
        <f t="shared" si="13"/>
        <v>0.19634954084936207</v>
      </c>
      <c r="N319">
        <v>1</v>
      </c>
    </row>
    <row r="320" spans="1:15" x14ac:dyDescent="0.45">
      <c r="A320">
        <v>30</v>
      </c>
      <c r="B320" t="s">
        <v>90</v>
      </c>
      <c r="C320" t="str">
        <f t="shared" si="12"/>
        <v>AB30</v>
      </c>
      <c r="E320" s="19">
        <v>45812</v>
      </c>
      <c r="F320" s="2"/>
      <c r="H320" t="s">
        <v>75</v>
      </c>
      <c r="I320" t="s">
        <v>78</v>
      </c>
      <c r="K320" t="s">
        <v>79</v>
      </c>
      <c r="L320">
        <v>0.3</v>
      </c>
      <c r="M320">
        <f t="shared" si="13"/>
        <v>7.0685834705770348E-2</v>
      </c>
    </row>
    <row r="321" spans="1:14" x14ac:dyDescent="0.45">
      <c r="A321">
        <v>30</v>
      </c>
      <c r="B321" t="s">
        <v>90</v>
      </c>
      <c r="C321" t="str">
        <f t="shared" si="12"/>
        <v>AB30</v>
      </c>
      <c r="E321" s="19">
        <v>45812</v>
      </c>
      <c r="F321" s="2"/>
      <c r="H321" t="s">
        <v>75</v>
      </c>
      <c r="I321" t="s">
        <v>78</v>
      </c>
      <c r="K321" t="s">
        <v>79</v>
      </c>
      <c r="L321">
        <v>0.3</v>
      </c>
      <c r="M321">
        <f t="shared" si="13"/>
        <v>7.0685834705770348E-2</v>
      </c>
    </row>
    <row r="322" spans="1:14" x14ac:dyDescent="0.45">
      <c r="A322">
        <v>30</v>
      </c>
      <c r="B322" t="s">
        <v>90</v>
      </c>
      <c r="C322" t="str">
        <f t="shared" si="12"/>
        <v>AB30</v>
      </c>
      <c r="E322" s="19">
        <v>45812</v>
      </c>
      <c r="F322" s="2"/>
      <c r="H322" t="s">
        <v>75</v>
      </c>
      <c r="I322" t="s">
        <v>78</v>
      </c>
      <c r="K322" t="s">
        <v>77</v>
      </c>
      <c r="L322">
        <v>0.5</v>
      </c>
      <c r="M322">
        <f t="shared" si="13"/>
        <v>0.1308996938995747</v>
      </c>
    </row>
    <row r="323" spans="1:14" x14ac:dyDescent="0.45">
      <c r="A323">
        <v>30</v>
      </c>
      <c r="B323" t="s">
        <v>90</v>
      </c>
      <c r="C323" t="str">
        <f t="shared" ref="C323:C386" si="14">"A" &amp; UPPER(LEFT(B323,1)) &amp; A323</f>
        <v>AB30</v>
      </c>
      <c r="E323" s="19">
        <v>45812</v>
      </c>
      <c r="F323" s="2"/>
      <c r="H323" t="s">
        <v>75</v>
      </c>
      <c r="I323" t="s">
        <v>78</v>
      </c>
      <c r="K323" t="s">
        <v>77</v>
      </c>
      <c r="L323">
        <v>0.3</v>
      </c>
      <c r="M323">
        <f t="shared" si="13"/>
        <v>4.7123889803846894E-2</v>
      </c>
    </row>
    <row r="324" spans="1:14" x14ac:dyDescent="0.45">
      <c r="A324">
        <v>30</v>
      </c>
      <c r="B324" t="s">
        <v>90</v>
      </c>
      <c r="C324" t="str">
        <f t="shared" si="14"/>
        <v>AB30</v>
      </c>
      <c r="E324" s="19">
        <v>45812</v>
      </c>
      <c r="F324" s="2"/>
      <c r="H324" t="s">
        <v>75</v>
      </c>
      <c r="I324" t="s">
        <v>78</v>
      </c>
      <c r="K324" t="s">
        <v>79</v>
      </c>
      <c r="L324">
        <v>0.4</v>
      </c>
      <c r="M324">
        <f t="shared" si="13"/>
        <v>0.12566370614359174</v>
      </c>
    </row>
    <row r="325" spans="1:14" x14ac:dyDescent="0.45">
      <c r="A325">
        <v>30</v>
      </c>
      <c r="B325" t="s">
        <v>90</v>
      </c>
      <c r="C325" t="str">
        <f t="shared" si="14"/>
        <v>AB30</v>
      </c>
      <c r="E325" s="19">
        <v>45812</v>
      </c>
      <c r="F325" s="2"/>
      <c r="H325" t="s">
        <v>75</v>
      </c>
      <c r="I325" t="s">
        <v>80</v>
      </c>
      <c r="K325" t="s">
        <v>77</v>
      </c>
      <c r="L325">
        <v>0.1</v>
      </c>
      <c r="M325">
        <f t="shared" si="13"/>
        <v>5.2359877559829881E-3</v>
      </c>
      <c r="N325">
        <v>5</v>
      </c>
    </row>
    <row r="326" spans="1:14" x14ac:dyDescent="0.45">
      <c r="A326">
        <v>30</v>
      </c>
      <c r="B326" t="s">
        <v>90</v>
      </c>
      <c r="C326" t="str">
        <f t="shared" si="14"/>
        <v>AB30</v>
      </c>
      <c r="E326" s="19">
        <v>45812</v>
      </c>
      <c r="F326" s="2"/>
      <c r="H326" t="s">
        <v>75</v>
      </c>
      <c r="I326" t="s">
        <v>80</v>
      </c>
      <c r="K326" t="s">
        <v>77</v>
      </c>
      <c r="L326">
        <v>0.2</v>
      </c>
      <c r="M326">
        <f t="shared" si="13"/>
        <v>2.0943951023931952E-2</v>
      </c>
    </row>
    <row r="327" spans="1:14" x14ac:dyDescent="0.45">
      <c r="A327">
        <v>30</v>
      </c>
      <c r="B327" t="s">
        <v>90</v>
      </c>
      <c r="C327" t="str">
        <f t="shared" si="14"/>
        <v>AB30</v>
      </c>
      <c r="E327" s="19">
        <v>45812</v>
      </c>
      <c r="F327" s="2"/>
      <c r="H327" t="s">
        <v>75</v>
      </c>
      <c r="I327" t="s">
        <v>80</v>
      </c>
      <c r="K327" t="s">
        <v>79</v>
      </c>
      <c r="L327">
        <v>0.2</v>
      </c>
      <c r="M327">
        <f t="shared" si="13"/>
        <v>3.1415926535897934E-2</v>
      </c>
    </row>
    <row r="328" spans="1:14" x14ac:dyDescent="0.45">
      <c r="A328">
        <v>30</v>
      </c>
      <c r="B328" t="s">
        <v>90</v>
      </c>
      <c r="C328" t="str">
        <f t="shared" si="14"/>
        <v>AB30</v>
      </c>
      <c r="E328" s="19">
        <v>45812</v>
      </c>
      <c r="F328" s="2"/>
      <c r="H328" t="s">
        <v>81</v>
      </c>
      <c r="I328" t="s">
        <v>76</v>
      </c>
      <c r="K328" t="s">
        <v>83</v>
      </c>
      <c r="M328" t="str">
        <f t="shared" si="13"/>
        <v/>
      </c>
    </row>
    <row r="329" spans="1:14" x14ac:dyDescent="0.45">
      <c r="A329">
        <v>30</v>
      </c>
      <c r="B329" t="s">
        <v>90</v>
      </c>
      <c r="C329" t="str">
        <f t="shared" si="14"/>
        <v>AB30</v>
      </c>
      <c r="E329" s="19">
        <v>45812</v>
      </c>
      <c r="F329" s="2"/>
      <c r="H329" t="s">
        <v>81</v>
      </c>
      <c r="I329" t="s">
        <v>78</v>
      </c>
      <c r="K329" t="s">
        <v>79</v>
      </c>
      <c r="L329">
        <v>1</v>
      </c>
      <c r="M329">
        <f t="shared" si="13"/>
        <v>0.78539816339744828</v>
      </c>
      <c r="N329">
        <v>1</v>
      </c>
    </row>
    <row r="330" spans="1:14" x14ac:dyDescent="0.45">
      <c r="A330">
        <v>30</v>
      </c>
      <c r="B330" t="s">
        <v>90</v>
      </c>
      <c r="C330" t="str">
        <f t="shared" si="14"/>
        <v>AB30</v>
      </c>
      <c r="E330" s="19">
        <v>45812</v>
      </c>
      <c r="F330" s="2"/>
      <c r="H330" t="s">
        <v>81</v>
      </c>
      <c r="I330" t="s">
        <v>78</v>
      </c>
      <c r="K330" t="s">
        <v>79</v>
      </c>
      <c r="L330">
        <v>0.4</v>
      </c>
      <c r="M330">
        <f t="shared" si="13"/>
        <v>0.12566370614359174</v>
      </c>
    </row>
    <row r="331" spans="1:14" x14ac:dyDescent="0.45">
      <c r="A331">
        <v>30</v>
      </c>
      <c r="B331" t="s">
        <v>90</v>
      </c>
      <c r="C331" t="str">
        <f t="shared" si="14"/>
        <v>AB30</v>
      </c>
      <c r="E331" s="19">
        <v>45812</v>
      </c>
      <c r="F331" s="2"/>
      <c r="H331" t="s">
        <v>81</v>
      </c>
      <c r="I331" t="s">
        <v>78</v>
      </c>
      <c r="K331" t="s">
        <v>79</v>
      </c>
      <c r="L331">
        <v>0.3</v>
      </c>
      <c r="M331">
        <f t="shared" si="13"/>
        <v>7.0685834705770348E-2</v>
      </c>
    </row>
    <row r="332" spans="1:14" x14ac:dyDescent="0.45">
      <c r="A332">
        <v>30</v>
      </c>
      <c r="B332" t="s">
        <v>90</v>
      </c>
      <c r="C332" t="str">
        <f t="shared" si="14"/>
        <v>AB30</v>
      </c>
      <c r="E332" s="19">
        <v>45812</v>
      </c>
      <c r="F332" s="2"/>
      <c r="H332" t="s">
        <v>81</v>
      </c>
      <c r="I332" t="s">
        <v>78</v>
      </c>
      <c r="K332" t="s">
        <v>79</v>
      </c>
      <c r="L332">
        <v>0.2</v>
      </c>
      <c r="M332">
        <f t="shared" si="13"/>
        <v>3.1415926535897934E-2</v>
      </c>
    </row>
    <row r="333" spans="1:14" x14ac:dyDescent="0.45">
      <c r="A333">
        <v>30</v>
      </c>
      <c r="B333" t="s">
        <v>90</v>
      </c>
      <c r="C333" t="str">
        <f t="shared" si="14"/>
        <v>AB30</v>
      </c>
      <c r="E333" s="19">
        <v>45812</v>
      </c>
      <c r="F333" s="2"/>
      <c r="H333" t="s">
        <v>81</v>
      </c>
      <c r="I333" t="s">
        <v>80</v>
      </c>
      <c r="K333" t="s">
        <v>77</v>
      </c>
      <c r="L333">
        <v>1</v>
      </c>
      <c r="M333">
        <f t="shared" si="13"/>
        <v>0.52359877559829882</v>
      </c>
      <c r="N333">
        <v>4</v>
      </c>
    </row>
    <row r="334" spans="1:14" x14ac:dyDescent="0.45">
      <c r="A334">
        <v>31</v>
      </c>
      <c r="B334" t="s">
        <v>90</v>
      </c>
      <c r="C334" t="str">
        <f t="shared" si="14"/>
        <v>AB31</v>
      </c>
      <c r="E334" s="19">
        <v>45812</v>
      </c>
      <c r="F334" s="2"/>
      <c r="H334" t="s">
        <v>75</v>
      </c>
      <c r="I334" t="s">
        <v>76</v>
      </c>
      <c r="K334" t="s">
        <v>83</v>
      </c>
      <c r="M334" t="str">
        <f t="shared" si="13"/>
        <v/>
      </c>
    </row>
    <row r="335" spans="1:14" x14ac:dyDescent="0.45">
      <c r="A335">
        <v>31</v>
      </c>
      <c r="B335" t="s">
        <v>90</v>
      </c>
      <c r="C335" t="str">
        <f t="shared" si="14"/>
        <v>AB31</v>
      </c>
      <c r="E335" s="19">
        <v>45812</v>
      </c>
      <c r="F335" s="2"/>
      <c r="H335" t="s">
        <v>75</v>
      </c>
      <c r="I335" t="s">
        <v>78</v>
      </c>
      <c r="K335" t="s">
        <v>79</v>
      </c>
      <c r="L335">
        <v>0.8</v>
      </c>
      <c r="M335">
        <f t="shared" si="13"/>
        <v>0.50265482457436694</v>
      </c>
    </row>
    <row r="336" spans="1:14" x14ac:dyDescent="0.45">
      <c r="A336">
        <v>31</v>
      </c>
      <c r="B336" t="s">
        <v>90</v>
      </c>
      <c r="C336" t="str">
        <f t="shared" si="14"/>
        <v>AB31</v>
      </c>
      <c r="E336" s="19">
        <v>45812</v>
      </c>
      <c r="F336" s="2"/>
      <c r="H336" t="s">
        <v>75</v>
      </c>
      <c r="I336" t="s">
        <v>78</v>
      </c>
      <c r="K336" t="s">
        <v>79</v>
      </c>
      <c r="L336">
        <v>0.5</v>
      </c>
      <c r="M336">
        <f t="shared" si="13"/>
        <v>0.19634954084936207</v>
      </c>
    </row>
    <row r="337" spans="1:15" x14ac:dyDescent="0.45">
      <c r="A337">
        <v>31</v>
      </c>
      <c r="B337" t="s">
        <v>90</v>
      </c>
      <c r="C337" t="str">
        <f t="shared" si="14"/>
        <v>AB31</v>
      </c>
      <c r="E337" s="19">
        <v>45812</v>
      </c>
      <c r="F337" s="2"/>
      <c r="H337" t="s">
        <v>75</v>
      </c>
      <c r="I337" t="s">
        <v>80</v>
      </c>
      <c r="K337" t="s">
        <v>79</v>
      </c>
      <c r="L337">
        <v>0.3</v>
      </c>
      <c r="M337">
        <f t="shared" si="13"/>
        <v>7.0685834705770348E-2</v>
      </c>
      <c r="N337">
        <v>10</v>
      </c>
    </row>
    <row r="338" spans="1:15" x14ac:dyDescent="0.45">
      <c r="A338">
        <v>31</v>
      </c>
      <c r="B338" t="s">
        <v>90</v>
      </c>
      <c r="C338" t="str">
        <f t="shared" si="14"/>
        <v>AB31</v>
      </c>
      <c r="E338" s="19">
        <v>45812</v>
      </c>
      <c r="F338" s="2"/>
      <c r="H338" t="s">
        <v>75</v>
      </c>
      <c r="I338" t="s">
        <v>80</v>
      </c>
      <c r="K338" t="s">
        <v>79</v>
      </c>
      <c r="L338">
        <v>0.4</v>
      </c>
      <c r="M338">
        <f t="shared" ref="M338:M401" si="15">IF(OR(L338="na", L338=""), "", IF(K338="mm", PI()*(L338/2)^2, IF(K338="ep", PI()*(L338/2)*(L338*(2/3)/2), "")))</f>
        <v>0.12566370614359174</v>
      </c>
    </row>
    <row r="339" spans="1:15" x14ac:dyDescent="0.45">
      <c r="A339">
        <v>31</v>
      </c>
      <c r="B339" t="s">
        <v>90</v>
      </c>
      <c r="C339" t="str">
        <f t="shared" si="14"/>
        <v>AB31</v>
      </c>
      <c r="E339" s="19">
        <v>45812</v>
      </c>
      <c r="F339" s="2"/>
      <c r="H339" t="s">
        <v>75</v>
      </c>
      <c r="I339" t="s">
        <v>80</v>
      </c>
      <c r="K339" t="s">
        <v>77</v>
      </c>
      <c r="L339">
        <v>0.5</v>
      </c>
      <c r="M339">
        <f t="shared" si="15"/>
        <v>0.1308996938995747</v>
      </c>
    </row>
    <row r="340" spans="1:15" x14ac:dyDescent="0.45">
      <c r="A340">
        <v>31</v>
      </c>
      <c r="B340" t="s">
        <v>90</v>
      </c>
      <c r="C340" t="str">
        <f t="shared" si="14"/>
        <v>AB31</v>
      </c>
      <c r="E340" s="19">
        <v>45812</v>
      </c>
      <c r="F340" s="2"/>
      <c r="H340" t="s">
        <v>81</v>
      </c>
      <c r="I340" t="s">
        <v>76</v>
      </c>
      <c r="K340" t="s">
        <v>83</v>
      </c>
      <c r="M340" t="str">
        <f t="shared" si="15"/>
        <v/>
      </c>
    </row>
    <row r="341" spans="1:15" x14ac:dyDescent="0.45">
      <c r="A341">
        <v>31</v>
      </c>
      <c r="B341" t="s">
        <v>90</v>
      </c>
      <c r="C341" t="str">
        <f t="shared" si="14"/>
        <v>AB31</v>
      </c>
      <c r="E341" s="19">
        <v>45812</v>
      </c>
      <c r="F341" s="2"/>
      <c r="H341" t="s">
        <v>81</v>
      </c>
      <c r="I341" t="s">
        <v>78</v>
      </c>
      <c r="K341" t="s">
        <v>83</v>
      </c>
      <c r="M341" t="str">
        <f t="shared" si="15"/>
        <v/>
      </c>
    </row>
    <row r="342" spans="1:15" x14ac:dyDescent="0.45">
      <c r="A342">
        <v>31</v>
      </c>
      <c r="B342" t="s">
        <v>90</v>
      </c>
      <c r="C342" t="str">
        <f t="shared" si="14"/>
        <v>AB31</v>
      </c>
      <c r="E342" s="19">
        <v>45812</v>
      </c>
      <c r="F342" s="2"/>
      <c r="H342" t="s">
        <v>81</v>
      </c>
      <c r="I342" t="s">
        <v>80</v>
      </c>
      <c r="K342" t="s">
        <v>77</v>
      </c>
      <c r="L342">
        <v>0.4</v>
      </c>
      <c r="M342">
        <f t="shared" si="15"/>
        <v>8.377580409572781E-2</v>
      </c>
      <c r="N342">
        <v>4</v>
      </c>
    </row>
    <row r="343" spans="1:15" x14ac:dyDescent="0.45">
      <c r="A343">
        <v>31</v>
      </c>
      <c r="B343" t="s">
        <v>90</v>
      </c>
      <c r="C343" t="str">
        <f t="shared" si="14"/>
        <v>AB31</v>
      </c>
      <c r="E343" s="19">
        <v>45812</v>
      </c>
      <c r="F343" s="2"/>
      <c r="H343" t="s">
        <v>81</v>
      </c>
      <c r="I343" t="s">
        <v>80</v>
      </c>
      <c r="K343" t="s">
        <v>79</v>
      </c>
      <c r="L343">
        <v>0.4</v>
      </c>
      <c r="M343">
        <f t="shared" si="15"/>
        <v>0.12566370614359174</v>
      </c>
    </row>
    <row r="344" spans="1:15" x14ac:dyDescent="0.45">
      <c r="A344">
        <v>31</v>
      </c>
      <c r="B344" t="s">
        <v>90</v>
      </c>
      <c r="C344" t="str">
        <f t="shared" si="14"/>
        <v>AB31</v>
      </c>
      <c r="E344" s="19">
        <v>45812</v>
      </c>
      <c r="F344" s="2"/>
      <c r="H344" t="s">
        <v>81</v>
      </c>
      <c r="I344" t="s">
        <v>80</v>
      </c>
      <c r="K344" t="s">
        <v>79</v>
      </c>
      <c r="L344">
        <v>0.5</v>
      </c>
      <c r="M344">
        <f t="shared" si="15"/>
        <v>0.19634954084936207</v>
      </c>
    </row>
    <row r="345" spans="1:15" x14ac:dyDescent="0.45">
      <c r="A345">
        <v>31</v>
      </c>
      <c r="B345" t="s">
        <v>90</v>
      </c>
      <c r="C345" t="str">
        <f t="shared" si="14"/>
        <v>AB31</v>
      </c>
      <c r="E345" s="19">
        <v>45812</v>
      </c>
      <c r="F345" s="2"/>
      <c r="H345" t="s">
        <v>81</v>
      </c>
      <c r="I345" t="s">
        <v>80</v>
      </c>
      <c r="K345" t="s">
        <v>79</v>
      </c>
      <c r="L345">
        <v>0.3</v>
      </c>
      <c r="M345">
        <f t="shared" si="15"/>
        <v>7.0685834705770348E-2</v>
      </c>
    </row>
    <row r="346" spans="1:15" x14ac:dyDescent="0.45">
      <c r="A346">
        <v>31</v>
      </c>
      <c r="B346" t="s">
        <v>90</v>
      </c>
      <c r="C346" t="str">
        <f t="shared" si="14"/>
        <v>AB31</v>
      </c>
      <c r="E346" s="19">
        <v>45812</v>
      </c>
      <c r="F346" s="2"/>
      <c r="H346" t="s">
        <v>81</v>
      </c>
      <c r="I346" t="s">
        <v>80</v>
      </c>
      <c r="K346" t="s">
        <v>79</v>
      </c>
      <c r="L346">
        <v>0.2</v>
      </c>
      <c r="M346">
        <f t="shared" si="15"/>
        <v>3.1415926535897934E-2</v>
      </c>
    </row>
    <row r="347" spans="1:15" x14ac:dyDescent="0.45">
      <c r="A347">
        <v>32</v>
      </c>
      <c r="B347" t="s">
        <v>90</v>
      </c>
      <c r="C347" t="str">
        <f t="shared" si="14"/>
        <v>AB32</v>
      </c>
      <c r="E347" s="19">
        <v>45812</v>
      </c>
      <c r="F347" s="2"/>
      <c r="H347" t="s">
        <v>75</v>
      </c>
      <c r="I347" t="s">
        <v>76</v>
      </c>
      <c r="K347" t="s">
        <v>83</v>
      </c>
      <c r="M347" t="str">
        <f t="shared" si="15"/>
        <v/>
      </c>
    </row>
    <row r="348" spans="1:15" x14ac:dyDescent="0.45">
      <c r="A348">
        <v>32</v>
      </c>
      <c r="B348" t="s">
        <v>90</v>
      </c>
      <c r="C348" t="str">
        <f t="shared" si="14"/>
        <v>AB32</v>
      </c>
      <c r="E348" s="19">
        <v>45812</v>
      </c>
      <c r="F348" s="2"/>
      <c r="H348" t="s">
        <v>75</v>
      </c>
      <c r="I348" t="s">
        <v>78</v>
      </c>
      <c r="M348" t="str">
        <f t="shared" si="15"/>
        <v/>
      </c>
      <c r="O348">
        <v>1</v>
      </c>
    </row>
    <row r="349" spans="1:15" x14ac:dyDescent="0.45">
      <c r="A349">
        <v>32</v>
      </c>
      <c r="B349" t="s">
        <v>90</v>
      </c>
      <c r="C349" t="str">
        <f t="shared" si="14"/>
        <v>AB32</v>
      </c>
      <c r="E349" s="19">
        <v>45812</v>
      </c>
      <c r="F349" s="2"/>
      <c r="H349" t="s">
        <v>75</v>
      </c>
      <c r="I349" t="s">
        <v>80</v>
      </c>
      <c r="K349" t="s">
        <v>79</v>
      </c>
      <c r="L349">
        <v>1</v>
      </c>
      <c r="M349">
        <f t="shared" si="15"/>
        <v>0.78539816339744828</v>
      </c>
    </row>
    <row r="350" spans="1:15" x14ac:dyDescent="0.45">
      <c r="A350">
        <v>32</v>
      </c>
      <c r="B350" t="s">
        <v>90</v>
      </c>
      <c r="C350" t="str">
        <f t="shared" si="14"/>
        <v>AB32</v>
      </c>
      <c r="E350" s="19">
        <v>45812</v>
      </c>
      <c r="F350" s="2"/>
      <c r="H350" t="s">
        <v>81</v>
      </c>
      <c r="I350" t="s">
        <v>76</v>
      </c>
      <c r="K350" t="s">
        <v>83</v>
      </c>
      <c r="M350" t="str">
        <f t="shared" si="15"/>
        <v/>
      </c>
    </row>
    <row r="351" spans="1:15" x14ac:dyDescent="0.45">
      <c r="A351">
        <v>32</v>
      </c>
      <c r="B351" t="s">
        <v>90</v>
      </c>
      <c r="C351" t="str">
        <f t="shared" si="14"/>
        <v>AB32</v>
      </c>
      <c r="E351" s="19">
        <v>45812</v>
      </c>
      <c r="F351" s="2"/>
      <c r="H351" t="s">
        <v>81</v>
      </c>
      <c r="I351" t="s">
        <v>78</v>
      </c>
      <c r="K351" t="s">
        <v>79</v>
      </c>
      <c r="L351">
        <v>0.5</v>
      </c>
      <c r="M351">
        <f t="shared" si="15"/>
        <v>0.19634954084936207</v>
      </c>
    </row>
    <row r="352" spans="1:15" x14ac:dyDescent="0.45">
      <c r="A352">
        <v>35</v>
      </c>
      <c r="B352" t="s">
        <v>89</v>
      </c>
      <c r="C352" t="str">
        <f t="shared" si="14"/>
        <v>AG35</v>
      </c>
      <c r="E352" s="19">
        <v>45812</v>
      </c>
      <c r="F352" s="2"/>
      <c r="G352" t="s">
        <v>86</v>
      </c>
      <c r="M352" t="str">
        <f t="shared" si="15"/>
        <v/>
      </c>
    </row>
    <row r="353" spans="1:15" x14ac:dyDescent="0.45">
      <c r="A353">
        <v>36</v>
      </c>
      <c r="B353" t="s">
        <v>89</v>
      </c>
      <c r="C353" t="str">
        <f t="shared" si="14"/>
        <v>AG36</v>
      </c>
      <c r="E353" s="19">
        <v>45812</v>
      </c>
      <c r="F353" s="2"/>
      <c r="G353" t="s">
        <v>91</v>
      </c>
      <c r="H353" t="s">
        <v>75</v>
      </c>
      <c r="I353" t="s">
        <v>76</v>
      </c>
      <c r="K353" t="s">
        <v>83</v>
      </c>
      <c r="M353" t="str">
        <f t="shared" si="15"/>
        <v/>
      </c>
    </row>
    <row r="354" spans="1:15" x14ac:dyDescent="0.45">
      <c r="A354">
        <v>36</v>
      </c>
      <c r="B354" t="s">
        <v>89</v>
      </c>
      <c r="C354" t="str">
        <f t="shared" si="14"/>
        <v>AG36</v>
      </c>
      <c r="E354" s="19">
        <v>45812</v>
      </c>
      <c r="F354" s="2"/>
      <c r="G354" t="s">
        <v>91</v>
      </c>
      <c r="H354" t="s">
        <v>75</v>
      </c>
      <c r="I354" t="s">
        <v>78</v>
      </c>
      <c r="K354" t="s">
        <v>77</v>
      </c>
      <c r="L354">
        <v>1</v>
      </c>
      <c r="M354">
        <f t="shared" si="15"/>
        <v>0.52359877559829882</v>
      </c>
    </row>
    <row r="355" spans="1:15" x14ac:dyDescent="0.45">
      <c r="A355">
        <v>36</v>
      </c>
      <c r="B355" t="s">
        <v>89</v>
      </c>
      <c r="C355" t="str">
        <f t="shared" si="14"/>
        <v>AG36</v>
      </c>
      <c r="E355" s="19">
        <v>45812</v>
      </c>
      <c r="F355" s="2"/>
      <c r="G355" t="s">
        <v>91</v>
      </c>
      <c r="H355" t="s">
        <v>75</v>
      </c>
      <c r="I355" t="s">
        <v>78</v>
      </c>
      <c r="K355" t="s">
        <v>77</v>
      </c>
      <c r="L355">
        <v>0.6</v>
      </c>
      <c r="M355">
        <f t="shared" si="15"/>
        <v>0.18849555921538758</v>
      </c>
    </row>
    <row r="356" spans="1:15" x14ac:dyDescent="0.45">
      <c r="A356">
        <v>36</v>
      </c>
      <c r="B356" t="s">
        <v>89</v>
      </c>
      <c r="C356" t="str">
        <f t="shared" si="14"/>
        <v>AG36</v>
      </c>
      <c r="E356" s="19">
        <v>45812</v>
      </c>
      <c r="F356" s="2"/>
      <c r="G356" t="s">
        <v>91</v>
      </c>
      <c r="H356" t="s">
        <v>75</v>
      </c>
      <c r="I356" t="s">
        <v>80</v>
      </c>
      <c r="K356" t="s">
        <v>77</v>
      </c>
      <c r="L356">
        <v>0.5</v>
      </c>
      <c r="M356">
        <f t="shared" si="15"/>
        <v>0.1308996938995747</v>
      </c>
    </row>
    <row r="357" spans="1:15" x14ac:dyDescent="0.45">
      <c r="A357">
        <v>36</v>
      </c>
      <c r="B357" t="s">
        <v>89</v>
      </c>
      <c r="C357" t="str">
        <f t="shared" si="14"/>
        <v>AG36</v>
      </c>
      <c r="E357" s="19">
        <v>45812</v>
      </c>
      <c r="F357" s="2"/>
      <c r="G357" t="s">
        <v>91</v>
      </c>
      <c r="H357" t="s">
        <v>81</v>
      </c>
      <c r="I357" t="s">
        <v>76</v>
      </c>
      <c r="K357" t="s">
        <v>83</v>
      </c>
      <c r="M357" t="str">
        <f t="shared" si="15"/>
        <v/>
      </c>
    </row>
    <row r="358" spans="1:15" x14ac:dyDescent="0.45">
      <c r="A358">
        <v>36</v>
      </c>
      <c r="B358" t="s">
        <v>89</v>
      </c>
      <c r="C358" t="str">
        <f t="shared" si="14"/>
        <v>AG36</v>
      </c>
      <c r="E358" s="19">
        <v>45812</v>
      </c>
      <c r="F358" s="2"/>
      <c r="G358" t="s">
        <v>91</v>
      </c>
      <c r="H358" t="s">
        <v>81</v>
      </c>
      <c r="I358" t="s">
        <v>78</v>
      </c>
      <c r="K358" t="s">
        <v>77</v>
      </c>
      <c r="L358">
        <v>0.5</v>
      </c>
      <c r="M358">
        <f t="shared" si="15"/>
        <v>0.1308996938995747</v>
      </c>
    </row>
    <row r="359" spans="1:15" x14ac:dyDescent="0.45">
      <c r="A359">
        <v>36</v>
      </c>
      <c r="B359" t="s">
        <v>89</v>
      </c>
      <c r="C359" t="str">
        <f t="shared" si="14"/>
        <v>AG36</v>
      </c>
      <c r="E359" s="19">
        <v>45812</v>
      </c>
      <c r="F359" s="2"/>
      <c r="G359" t="s">
        <v>91</v>
      </c>
      <c r="H359" t="s">
        <v>81</v>
      </c>
      <c r="I359" t="s">
        <v>78</v>
      </c>
      <c r="K359" t="s">
        <v>79</v>
      </c>
      <c r="L359">
        <v>0.5</v>
      </c>
      <c r="M359">
        <f t="shared" si="15"/>
        <v>0.19634954084936207</v>
      </c>
    </row>
    <row r="360" spans="1:15" x14ac:dyDescent="0.45">
      <c r="A360">
        <v>36</v>
      </c>
      <c r="B360" t="s">
        <v>89</v>
      </c>
      <c r="C360" t="str">
        <f t="shared" si="14"/>
        <v>AG36</v>
      </c>
      <c r="E360" s="19">
        <v>45812</v>
      </c>
      <c r="F360" s="2"/>
      <c r="G360" t="s">
        <v>91</v>
      </c>
      <c r="H360" t="s">
        <v>81</v>
      </c>
      <c r="I360" t="s">
        <v>78</v>
      </c>
      <c r="K360" t="s">
        <v>77</v>
      </c>
      <c r="L360">
        <v>0.3</v>
      </c>
      <c r="M360">
        <f t="shared" si="15"/>
        <v>4.7123889803846894E-2</v>
      </c>
    </row>
    <row r="361" spans="1:15" x14ac:dyDescent="0.45">
      <c r="A361">
        <v>36</v>
      </c>
      <c r="B361" t="s">
        <v>89</v>
      </c>
      <c r="C361" t="str">
        <f t="shared" si="14"/>
        <v>AG36</v>
      </c>
      <c r="E361" s="19">
        <v>45812</v>
      </c>
      <c r="F361" s="2"/>
      <c r="G361" t="s">
        <v>91</v>
      </c>
      <c r="H361" t="s">
        <v>81</v>
      </c>
      <c r="I361" t="s">
        <v>80</v>
      </c>
      <c r="K361" t="s">
        <v>77</v>
      </c>
      <c r="L361">
        <v>0.5</v>
      </c>
      <c r="M361">
        <f t="shared" si="15"/>
        <v>0.1308996938995747</v>
      </c>
    </row>
    <row r="362" spans="1:15" x14ac:dyDescent="0.45">
      <c r="A362">
        <v>36</v>
      </c>
      <c r="B362" t="s">
        <v>89</v>
      </c>
      <c r="C362" t="str">
        <f t="shared" si="14"/>
        <v>AG36</v>
      </c>
      <c r="E362" s="19">
        <v>45812</v>
      </c>
      <c r="F362" s="2"/>
      <c r="G362" t="s">
        <v>91</v>
      </c>
      <c r="H362" t="s">
        <v>81</v>
      </c>
      <c r="I362" t="s">
        <v>80</v>
      </c>
      <c r="K362" t="s">
        <v>77</v>
      </c>
      <c r="L362">
        <v>0.3</v>
      </c>
      <c r="M362">
        <f t="shared" si="15"/>
        <v>4.7123889803846894E-2</v>
      </c>
    </row>
    <row r="363" spans="1:15" x14ac:dyDescent="0.45">
      <c r="A363">
        <v>36</v>
      </c>
      <c r="B363" t="s">
        <v>89</v>
      </c>
      <c r="C363" t="str">
        <f t="shared" si="14"/>
        <v>AG36</v>
      </c>
      <c r="E363" s="19">
        <v>45812</v>
      </c>
      <c r="F363" s="2"/>
      <c r="G363" t="s">
        <v>91</v>
      </c>
      <c r="H363" t="s">
        <v>81</v>
      </c>
      <c r="I363" t="s">
        <v>80</v>
      </c>
      <c r="K363" t="s">
        <v>77</v>
      </c>
      <c r="L363">
        <v>0.3</v>
      </c>
      <c r="M363">
        <f t="shared" si="15"/>
        <v>4.7123889803846894E-2</v>
      </c>
    </row>
    <row r="364" spans="1:15" x14ac:dyDescent="0.45">
      <c r="A364">
        <v>37</v>
      </c>
      <c r="B364" t="s">
        <v>89</v>
      </c>
      <c r="C364" t="str">
        <f t="shared" si="14"/>
        <v>AG37</v>
      </c>
      <c r="E364" s="19">
        <v>45812</v>
      </c>
      <c r="F364" s="2"/>
      <c r="G364" t="s">
        <v>92</v>
      </c>
      <c r="H364" t="s">
        <v>75</v>
      </c>
      <c r="I364" t="s">
        <v>76</v>
      </c>
      <c r="K364" t="s">
        <v>83</v>
      </c>
      <c r="M364" t="str">
        <f t="shared" si="15"/>
        <v/>
      </c>
    </row>
    <row r="365" spans="1:15" x14ac:dyDescent="0.45">
      <c r="A365">
        <v>37</v>
      </c>
      <c r="B365" t="s">
        <v>89</v>
      </c>
      <c r="C365" t="str">
        <f t="shared" si="14"/>
        <v>AG37</v>
      </c>
      <c r="E365" s="19">
        <v>45812</v>
      </c>
      <c r="F365" s="2"/>
      <c r="G365" t="s">
        <v>92</v>
      </c>
      <c r="H365" t="s">
        <v>75</v>
      </c>
      <c r="I365" t="s">
        <v>78</v>
      </c>
      <c r="K365" t="s">
        <v>77</v>
      </c>
      <c r="L365">
        <v>0.5</v>
      </c>
      <c r="M365">
        <f t="shared" si="15"/>
        <v>0.1308996938995747</v>
      </c>
      <c r="O365">
        <v>1</v>
      </c>
    </row>
    <row r="366" spans="1:15" x14ac:dyDescent="0.45">
      <c r="A366">
        <v>37</v>
      </c>
      <c r="B366" t="s">
        <v>89</v>
      </c>
      <c r="C366" t="str">
        <f t="shared" si="14"/>
        <v>AG37</v>
      </c>
      <c r="E366" s="19">
        <v>45812</v>
      </c>
      <c r="F366" s="2"/>
      <c r="G366" t="s">
        <v>92</v>
      </c>
      <c r="H366" t="s">
        <v>75</v>
      </c>
      <c r="I366" t="s">
        <v>78</v>
      </c>
      <c r="K366" t="s">
        <v>77</v>
      </c>
      <c r="L366">
        <v>0.5</v>
      </c>
      <c r="M366">
        <f t="shared" si="15"/>
        <v>0.1308996938995747</v>
      </c>
    </row>
    <row r="367" spans="1:15" x14ac:dyDescent="0.45">
      <c r="A367">
        <v>37</v>
      </c>
      <c r="B367" t="s">
        <v>89</v>
      </c>
      <c r="C367" t="str">
        <f t="shared" si="14"/>
        <v>AG37</v>
      </c>
      <c r="E367" s="19">
        <v>45812</v>
      </c>
      <c r="F367" s="2"/>
      <c r="G367" t="s">
        <v>92</v>
      </c>
      <c r="H367" t="s">
        <v>75</v>
      </c>
      <c r="I367" t="s">
        <v>80</v>
      </c>
      <c r="K367" t="s">
        <v>77</v>
      </c>
      <c r="L367">
        <v>0.5</v>
      </c>
      <c r="M367">
        <f t="shared" si="15"/>
        <v>0.1308996938995747</v>
      </c>
      <c r="O367">
        <v>1</v>
      </c>
    </row>
    <row r="368" spans="1:15" x14ac:dyDescent="0.45">
      <c r="A368">
        <v>37</v>
      </c>
      <c r="B368" t="s">
        <v>89</v>
      </c>
      <c r="C368" t="str">
        <f t="shared" si="14"/>
        <v>AG37</v>
      </c>
      <c r="E368" s="19">
        <v>45812</v>
      </c>
      <c r="F368" s="2"/>
      <c r="G368" t="s">
        <v>92</v>
      </c>
      <c r="H368" t="s">
        <v>75</v>
      </c>
      <c r="I368" t="s">
        <v>80</v>
      </c>
      <c r="K368" t="s">
        <v>79</v>
      </c>
      <c r="L368">
        <v>0.4</v>
      </c>
      <c r="M368">
        <f t="shared" si="15"/>
        <v>0.12566370614359174</v>
      </c>
    </row>
    <row r="369" spans="1:15" x14ac:dyDescent="0.45">
      <c r="A369">
        <v>37</v>
      </c>
      <c r="B369" t="s">
        <v>89</v>
      </c>
      <c r="C369" t="str">
        <f t="shared" si="14"/>
        <v>AG37</v>
      </c>
      <c r="E369" s="19">
        <v>45812</v>
      </c>
      <c r="F369" s="2"/>
      <c r="G369" t="s">
        <v>92</v>
      </c>
      <c r="H369" t="s">
        <v>75</v>
      </c>
      <c r="I369" t="s">
        <v>80</v>
      </c>
      <c r="K369" t="s">
        <v>79</v>
      </c>
      <c r="L369">
        <v>0.1</v>
      </c>
      <c r="M369">
        <f t="shared" si="15"/>
        <v>7.8539816339744835E-3</v>
      </c>
    </row>
    <row r="370" spans="1:15" x14ac:dyDescent="0.45">
      <c r="A370">
        <v>37</v>
      </c>
      <c r="B370" t="s">
        <v>89</v>
      </c>
      <c r="C370" t="str">
        <f t="shared" si="14"/>
        <v>AG37</v>
      </c>
      <c r="E370" s="19">
        <v>45812</v>
      </c>
      <c r="F370" s="2"/>
      <c r="G370" t="s">
        <v>92</v>
      </c>
      <c r="H370" t="s">
        <v>81</v>
      </c>
      <c r="I370" t="s">
        <v>76</v>
      </c>
      <c r="M370" t="str">
        <f t="shared" si="15"/>
        <v/>
      </c>
      <c r="O370">
        <v>2</v>
      </c>
    </row>
    <row r="371" spans="1:15" x14ac:dyDescent="0.45">
      <c r="A371">
        <v>37</v>
      </c>
      <c r="B371" t="s">
        <v>89</v>
      </c>
      <c r="C371" t="str">
        <f t="shared" si="14"/>
        <v>AG37</v>
      </c>
      <c r="E371" s="19">
        <v>45812</v>
      </c>
      <c r="F371" s="2"/>
      <c r="G371" t="s">
        <v>92</v>
      </c>
      <c r="H371" t="s">
        <v>81</v>
      </c>
      <c r="I371" t="s">
        <v>78</v>
      </c>
      <c r="M371" t="str">
        <f t="shared" si="15"/>
        <v/>
      </c>
      <c r="O371">
        <v>1</v>
      </c>
    </row>
    <row r="372" spans="1:15" x14ac:dyDescent="0.45">
      <c r="A372">
        <v>37</v>
      </c>
      <c r="B372" t="s">
        <v>89</v>
      </c>
      <c r="C372" t="str">
        <f t="shared" si="14"/>
        <v>AG37</v>
      </c>
      <c r="E372" s="19">
        <v>45812</v>
      </c>
      <c r="F372" s="2"/>
      <c r="G372" t="s">
        <v>92</v>
      </c>
      <c r="H372" t="s">
        <v>81</v>
      </c>
      <c r="I372" t="s">
        <v>80</v>
      </c>
      <c r="M372" t="str">
        <f t="shared" si="15"/>
        <v/>
      </c>
      <c r="O372">
        <v>4</v>
      </c>
    </row>
    <row r="373" spans="1:15" x14ac:dyDescent="0.45">
      <c r="A373">
        <v>39</v>
      </c>
      <c r="B373" t="s">
        <v>89</v>
      </c>
      <c r="C373" t="str">
        <f t="shared" si="14"/>
        <v>AG39</v>
      </c>
      <c r="E373" s="19">
        <v>45812</v>
      </c>
      <c r="F373" s="2"/>
      <c r="H373" t="s">
        <v>75</v>
      </c>
      <c r="I373" t="s">
        <v>76</v>
      </c>
      <c r="K373" t="s">
        <v>83</v>
      </c>
      <c r="M373" t="str">
        <f t="shared" si="15"/>
        <v/>
      </c>
    </row>
    <row r="374" spans="1:15" x14ac:dyDescent="0.45">
      <c r="A374">
        <v>39</v>
      </c>
      <c r="B374" t="s">
        <v>89</v>
      </c>
      <c r="C374" t="str">
        <f t="shared" si="14"/>
        <v>AG39</v>
      </c>
      <c r="E374" s="19">
        <v>45812</v>
      </c>
      <c r="F374" s="2"/>
      <c r="H374" t="s">
        <v>75</v>
      </c>
      <c r="I374" t="s">
        <v>78</v>
      </c>
      <c r="M374" t="str">
        <f t="shared" si="15"/>
        <v/>
      </c>
      <c r="N374">
        <v>2</v>
      </c>
    </row>
    <row r="375" spans="1:15" x14ac:dyDescent="0.45">
      <c r="A375">
        <v>39</v>
      </c>
      <c r="B375" t="s">
        <v>89</v>
      </c>
      <c r="C375" t="str">
        <f t="shared" si="14"/>
        <v>AG39</v>
      </c>
      <c r="E375" s="19">
        <v>45812</v>
      </c>
      <c r="F375" s="2"/>
      <c r="H375" t="s">
        <v>75</v>
      </c>
      <c r="I375" t="s">
        <v>80</v>
      </c>
      <c r="K375" t="s">
        <v>79</v>
      </c>
      <c r="L375">
        <v>0.2</v>
      </c>
      <c r="M375">
        <f t="shared" si="15"/>
        <v>3.1415926535897934E-2</v>
      </c>
    </row>
    <row r="376" spans="1:15" x14ac:dyDescent="0.45">
      <c r="A376">
        <v>39</v>
      </c>
      <c r="B376" t="s">
        <v>89</v>
      </c>
      <c r="C376" t="str">
        <f t="shared" si="14"/>
        <v>AG39</v>
      </c>
      <c r="E376" s="19">
        <v>45812</v>
      </c>
      <c r="F376" s="2"/>
      <c r="H376" t="s">
        <v>75</v>
      </c>
      <c r="I376" t="s">
        <v>80</v>
      </c>
      <c r="K376" t="s">
        <v>77</v>
      </c>
      <c r="L376">
        <v>0.3</v>
      </c>
      <c r="M376">
        <f t="shared" si="15"/>
        <v>4.7123889803846894E-2</v>
      </c>
    </row>
    <row r="377" spans="1:15" x14ac:dyDescent="0.45">
      <c r="A377">
        <v>39</v>
      </c>
      <c r="B377" t="s">
        <v>89</v>
      </c>
      <c r="C377" t="str">
        <f t="shared" si="14"/>
        <v>AG39</v>
      </c>
      <c r="E377" s="19">
        <v>45812</v>
      </c>
      <c r="F377" s="2"/>
      <c r="H377" t="s">
        <v>81</v>
      </c>
      <c r="I377" t="s">
        <v>76</v>
      </c>
      <c r="K377" t="s">
        <v>83</v>
      </c>
      <c r="M377" t="str">
        <f t="shared" si="15"/>
        <v/>
      </c>
    </row>
    <row r="378" spans="1:15" x14ac:dyDescent="0.45">
      <c r="A378">
        <v>39</v>
      </c>
      <c r="B378" t="s">
        <v>89</v>
      </c>
      <c r="C378" t="str">
        <f t="shared" si="14"/>
        <v>AG39</v>
      </c>
      <c r="E378" s="19">
        <v>45812</v>
      </c>
      <c r="F378" s="2"/>
      <c r="H378" t="s">
        <v>81</v>
      </c>
      <c r="I378" t="s">
        <v>78</v>
      </c>
      <c r="K378" t="s">
        <v>79</v>
      </c>
      <c r="L378">
        <v>0.1</v>
      </c>
      <c r="M378">
        <f t="shared" si="15"/>
        <v>7.8539816339744835E-3</v>
      </c>
      <c r="O378">
        <v>1</v>
      </c>
    </row>
    <row r="379" spans="1:15" x14ac:dyDescent="0.45">
      <c r="A379">
        <v>39</v>
      </c>
      <c r="B379" t="s">
        <v>89</v>
      </c>
      <c r="C379" t="str">
        <f t="shared" si="14"/>
        <v>AG39</v>
      </c>
      <c r="E379" s="19">
        <v>45812</v>
      </c>
      <c r="F379" s="2"/>
      <c r="H379" t="s">
        <v>81</v>
      </c>
      <c r="I379" t="s">
        <v>78</v>
      </c>
      <c r="K379" t="s">
        <v>79</v>
      </c>
      <c r="L379">
        <v>0.1</v>
      </c>
      <c r="M379">
        <f t="shared" si="15"/>
        <v>7.8539816339744835E-3</v>
      </c>
    </row>
    <row r="380" spans="1:15" x14ac:dyDescent="0.45">
      <c r="A380">
        <v>39</v>
      </c>
      <c r="B380" t="s">
        <v>89</v>
      </c>
      <c r="C380" t="str">
        <f t="shared" si="14"/>
        <v>AG39</v>
      </c>
      <c r="E380" s="19">
        <v>45812</v>
      </c>
      <c r="F380" s="2"/>
      <c r="H380" t="s">
        <v>81</v>
      </c>
      <c r="I380" t="s">
        <v>80</v>
      </c>
      <c r="K380" t="s">
        <v>79</v>
      </c>
      <c r="L380">
        <v>0.2</v>
      </c>
      <c r="M380">
        <f t="shared" si="15"/>
        <v>3.1415926535897934E-2</v>
      </c>
      <c r="O380">
        <v>1</v>
      </c>
    </row>
    <row r="381" spans="1:15" x14ac:dyDescent="0.45">
      <c r="A381">
        <v>40</v>
      </c>
      <c r="B381" t="s">
        <v>89</v>
      </c>
      <c r="C381" t="str">
        <f t="shared" si="14"/>
        <v>AG40</v>
      </c>
      <c r="E381" s="19">
        <v>45812</v>
      </c>
      <c r="F381" s="2"/>
      <c r="H381" t="s">
        <v>75</v>
      </c>
      <c r="I381" t="s">
        <v>76</v>
      </c>
      <c r="K381" t="s">
        <v>83</v>
      </c>
      <c r="M381" t="str">
        <f t="shared" si="15"/>
        <v/>
      </c>
    </row>
    <row r="382" spans="1:15" x14ac:dyDescent="0.45">
      <c r="A382">
        <v>40</v>
      </c>
      <c r="B382" t="s">
        <v>89</v>
      </c>
      <c r="C382" t="str">
        <f t="shared" si="14"/>
        <v>AG40</v>
      </c>
      <c r="E382" s="19">
        <v>45812</v>
      </c>
      <c r="F382" s="2"/>
      <c r="H382" t="s">
        <v>75</v>
      </c>
      <c r="I382" t="s">
        <v>78</v>
      </c>
      <c r="K382" t="s">
        <v>77</v>
      </c>
      <c r="L382">
        <v>0.5</v>
      </c>
      <c r="M382">
        <f t="shared" si="15"/>
        <v>0.1308996938995747</v>
      </c>
      <c r="O382">
        <v>6</v>
      </c>
    </row>
    <row r="383" spans="1:15" x14ac:dyDescent="0.45">
      <c r="A383">
        <v>40</v>
      </c>
      <c r="B383" t="s">
        <v>89</v>
      </c>
      <c r="C383" t="str">
        <f t="shared" si="14"/>
        <v>AG40</v>
      </c>
      <c r="E383" s="19">
        <v>45812</v>
      </c>
      <c r="F383" s="2"/>
      <c r="H383" t="s">
        <v>75</v>
      </c>
      <c r="I383" t="s">
        <v>78</v>
      </c>
      <c r="K383" t="s">
        <v>77</v>
      </c>
      <c r="L383">
        <v>0.5</v>
      </c>
      <c r="M383">
        <f t="shared" si="15"/>
        <v>0.1308996938995747</v>
      </c>
    </row>
    <row r="384" spans="1:15" x14ac:dyDescent="0.45">
      <c r="A384">
        <v>40</v>
      </c>
      <c r="B384" t="s">
        <v>89</v>
      </c>
      <c r="C384" t="str">
        <f t="shared" si="14"/>
        <v>AG40</v>
      </c>
      <c r="E384" s="19">
        <v>45812</v>
      </c>
      <c r="F384" s="2"/>
      <c r="H384" t="s">
        <v>75</v>
      </c>
      <c r="I384" t="s">
        <v>78</v>
      </c>
      <c r="K384" t="s">
        <v>79</v>
      </c>
      <c r="L384">
        <v>0.5</v>
      </c>
      <c r="M384">
        <f t="shared" si="15"/>
        <v>0.19634954084936207</v>
      </c>
    </row>
    <row r="385" spans="1:15" x14ac:dyDescent="0.45">
      <c r="A385">
        <v>40</v>
      </c>
      <c r="B385" t="s">
        <v>89</v>
      </c>
      <c r="C385" t="str">
        <f t="shared" si="14"/>
        <v>AG40</v>
      </c>
      <c r="E385" s="19">
        <v>45812</v>
      </c>
      <c r="F385" s="2"/>
      <c r="H385" t="s">
        <v>75</v>
      </c>
      <c r="I385" t="s">
        <v>78</v>
      </c>
      <c r="K385" t="s">
        <v>79</v>
      </c>
      <c r="L385">
        <v>0.2</v>
      </c>
      <c r="M385">
        <f t="shared" si="15"/>
        <v>3.1415926535897934E-2</v>
      </c>
    </row>
    <row r="386" spans="1:15" x14ac:dyDescent="0.45">
      <c r="A386">
        <v>40</v>
      </c>
      <c r="B386" t="s">
        <v>89</v>
      </c>
      <c r="C386" t="str">
        <f t="shared" si="14"/>
        <v>AG40</v>
      </c>
      <c r="E386" s="19">
        <v>45812</v>
      </c>
      <c r="F386" s="2"/>
      <c r="H386" t="s">
        <v>75</v>
      </c>
      <c r="I386" t="s">
        <v>78</v>
      </c>
      <c r="K386" t="s">
        <v>79</v>
      </c>
      <c r="L386">
        <v>0.1</v>
      </c>
      <c r="M386">
        <f t="shared" si="15"/>
        <v>7.8539816339744835E-3</v>
      </c>
    </row>
    <row r="387" spans="1:15" x14ac:dyDescent="0.45">
      <c r="A387">
        <v>40</v>
      </c>
      <c r="B387" t="s">
        <v>89</v>
      </c>
      <c r="C387" t="str">
        <f t="shared" ref="C387:C445" si="16">"A" &amp; UPPER(LEFT(B387,1)) &amp; A387</f>
        <v>AG40</v>
      </c>
      <c r="E387" s="19">
        <v>45812</v>
      </c>
      <c r="F387" s="2"/>
      <c r="H387" t="s">
        <v>75</v>
      </c>
      <c r="I387" t="s">
        <v>80</v>
      </c>
      <c r="K387" t="s">
        <v>77</v>
      </c>
      <c r="L387">
        <v>1</v>
      </c>
      <c r="M387">
        <f t="shared" si="15"/>
        <v>0.52359877559829882</v>
      </c>
    </row>
    <row r="388" spans="1:15" x14ac:dyDescent="0.45">
      <c r="A388">
        <v>40</v>
      </c>
      <c r="B388" t="s">
        <v>89</v>
      </c>
      <c r="C388" t="str">
        <f t="shared" si="16"/>
        <v>AG40</v>
      </c>
      <c r="E388" s="19">
        <v>45812</v>
      </c>
      <c r="F388" s="2"/>
      <c r="H388" t="s">
        <v>75</v>
      </c>
      <c r="I388" t="s">
        <v>80</v>
      </c>
      <c r="K388" t="s">
        <v>77</v>
      </c>
      <c r="L388">
        <v>0.8</v>
      </c>
      <c r="M388">
        <f t="shared" si="15"/>
        <v>0.33510321638291124</v>
      </c>
    </row>
    <row r="389" spans="1:15" x14ac:dyDescent="0.45">
      <c r="A389">
        <v>40</v>
      </c>
      <c r="B389" t="s">
        <v>89</v>
      </c>
      <c r="C389" t="str">
        <f t="shared" si="16"/>
        <v>AG40</v>
      </c>
      <c r="E389" s="19">
        <v>45812</v>
      </c>
      <c r="F389" s="2"/>
      <c r="H389" t="s">
        <v>81</v>
      </c>
      <c r="I389" t="s">
        <v>76</v>
      </c>
      <c r="K389" t="s">
        <v>83</v>
      </c>
      <c r="M389" t="str">
        <f t="shared" si="15"/>
        <v/>
      </c>
    </row>
    <row r="390" spans="1:15" x14ac:dyDescent="0.45">
      <c r="A390">
        <v>40</v>
      </c>
      <c r="B390" t="s">
        <v>89</v>
      </c>
      <c r="C390" t="str">
        <f t="shared" si="16"/>
        <v>AG40</v>
      </c>
      <c r="E390" s="19">
        <v>45812</v>
      </c>
      <c r="F390" s="2"/>
      <c r="H390" t="s">
        <v>81</v>
      </c>
      <c r="I390" t="s">
        <v>78</v>
      </c>
      <c r="K390" t="s">
        <v>79</v>
      </c>
      <c r="L390">
        <v>0.5</v>
      </c>
      <c r="M390">
        <f t="shared" si="15"/>
        <v>0.19634954084936207</v>
      </c>
      <c r="O390">
        <v>3</v>
      </c>
    </row>
    <row r="391" spans="1:15" x14ac:dyDescent="0.45">
      <c r="A391">
        <v>40</v>
      </c>
      <c r="B391" t="s">
        <v>89</v>
      </c>
      <c r="C391" t="str">
        <f t="shared" si="16"/>
        <v>AG40</v>
      </c>
      <c r="E391" s="19">
        <v>45812</v>
      </c>
      <c r="F391" s="2"/>
      <c r="H391" t="s">
        <v>81</v>
      </c>
      <c r="I391" t="s">
        <v>78</v>
      </c>
      <c r="K391" t="s">
        <v>77</v>
      </c>
      <c r="L391">
        <v>0.4</v>
      </c>
      <c r="M391">
        <f t="shared" si="15"/>
        <v>8.377580409572781E-2</v>
      </c>
    </row>
    <row r="392" spans="1:15" x14ac:dyDescent="0.45">
      <c r="A392">
        <v>40</v>
      </c>
      <c r="B392" t="s">
        <v>89</v>
      </c>
      <c r="C392" t="str">
        <f t="shared" si="16"/>
        <v>AG40</v>
      </c>
      <c r="E392" s="19">
        <v>45812</v>
      </c>
      <c r="F392" s="2"/>
      <c r="H392" t="s">
        <v>81</v>
      </c>
      <c r="I392" t="s">
        <v>80</v>
      </c>
      <c r="K392" t="s">
        <v>77</v>
      </c>
      <c r="L392">
        <v>0.1</v>
      </c>
      <c r="M392">
        <f t="shared" si="15"/>
        <v>5.2359877559829881E-3</v>
      </c>
    </row>
    <row r="393" spans="1:15" x14ac:dyDescent="0.45">
      <c r="A393">
        <v>40</v>
      </c>
      <c r="B393" t="s">
        <v>74</v>
      </c>
      <c r="C393" t="str">
        <f t="shared" si="16"/>
        <v>AW40</v>
      </c>
      <c r="E393" s="19">
        <v>45812</v>
      </c>
      <c r="F393" s="2"/>
      <c r="H393" t="s">
        <v>75</v>
      </c>
      <c r="I393" t="s">
        <v>76</v>
      </c>
      <c r="K393" t="s">
        <v>83</v>
      </c>
      <c r="M393" t="str">
        <f t="shared" si="15"/>
        <v/>
      </c>
    </row>
    <row r="394" spans="1:15" x14ac:dyDescent="0.45">
      <c r="A394">
        <v>40</v>
      </c>
      <c r="B394" t="s">
        <v>74</v>
      </c>
      <c r="C394" t="str">
        <f t="shared" si="16"/>
        <v>AW40</v>
      </c>
      <c r="E394" s="19">
        <v>45812</v>
      </c>
      <c r="F394" s="2"/>
      <c r="H394" t="s">
        <v>75</v>
      </c>
      <c r="I394" t="s">
        <v>78</v>
      </c>
      <c r="K394" t="s">
        <v>79</v>
      </c>
      <c r="L394">
        <v>0.3</v>
      </c>
      <c r="M394">
        <f t="shared" si="15"/>
        <v>7.0685834705770348E-2</v>
      </c>
      <c r="N394">
        <v>4</v>
      </c>
    </row>
    <row r="395" spans="1:15" x14ac:dyDescent="0.45">
      <c r="A395">
        <v>40</v>
      </c>
      <c r="B395" t="s">
        <v>74</v>
      </c>
      <c r="C395" t="str">
        <f t="shared" si="16"/>
        <v>AW40</v>
      </c>
      <c r="E395" s="19">
        <v>45812</v>
      </c>
      <c r="F395" s="2"/>
      <c r="H395" t="s">
        <v>75</v>
      </c>
      <c r="I395" t="s">
        <v>80</v>
      </c>
      <c r="K395" t="s">
        <v>83</v>
      </c>
      <c r="M395" t="str">
        <f t="shared" si="15"/>
        <v/>
      </c>
    </row>
    <row r="396" spans="1:15" x14ac:dyDescent="0.45">
      <c r="A396">
        <v>40</v>
      </c>
      <c r="B396" t="s">
        <v>74</v>
      </c>
      <c r="C396" t="str">
        <f t="shared" si="16"/>
        <v>AW40</v>
      </c>
      <c r="E396" s="19">
        <v>45812</v>
      </c>
      <c r="F396" s="2"/>
      <c r="H396" t="s">
        <v>81</v>
      </c>
      <c r="I396" t="s">
        <v>76</v>
      </c>
      <c r="K396" t="s">
        <v>83</v>
      </c>
      <c r="M396" t="str">
        <f t="shared" si="15"/>
        <v/>
      </c>
    </row>
    <row r="397" spans="1:15" x14ac:dyDescent="0.45">
      <c r="A397">
        <v>40</v>
      </c>
      <c r="B397" t="s">
        <v>74</v>
      </c>
      <c r="C397" t="str">
        <f t="shared" si="16"/>
        <v>AW40</v>
      </c>
      <c r="E397" s="19">
        <v>45812</v>
      </c>
      <c r="F397" s="2"/>
      <c r="H397" t="s">
        <v>81</v>
      </c>
      <c r="I397" t="s">
        <v>78</v>
      </c>
      <c r="K397" t="s">
        <v>77</v>
      </c>
      <c r="L397">
        <v>0.8</v>
      </c>
      <c r="M397">
        <f t="shared" si="15"/>
        <v>0.33510321638291124</v>
      </c>
    </row>
    <row r="398" spans="1:15" x14ac:dyDescent="0.45">
      <c r="A398">
        <v>40</v>
      </c>
      <c r="B398" t="s">
        <v>74</v>
      </c>
      <c r="C398" t="str">
        <f t="shared" si="16"/>
        <v>AW40</v>
      </c>
      <c r="E398" s="19">
        <v>45812</v>
      </c>
      <c r="F398" s="2"/>
      <c r="H398" t="s">
        <v>81</v>
      </c>
      <c r="I398" t="s">
        <v>80</v>
      </c>
      <c r="K398" t="s">
        <v>83</v>
      </c>
      <c r="M398" t="str">
        <f t="shared" si="15"/>
        <v/>
      </c>
    </row>
    <row r="399" spans="1:15" x14ac:dyDescent="0.45">
      <c r="A399">
        <v>41</v>
      </c>
      <c r="B399" t="s">
        <v>89</v>
      </c>
      <c r="C399" t="str">
        <f t="shared" si="16"/>
        <v>AG41</v>
      </c>
      <c r="E399" s="19">
        <v>45812</v>
      </c>
      <c r="F399" s="2"/>
      <c r="G399" t="s">
        <v>93</v>
      </c>
      <c r="H399" t="s">
        <v>75</v>
      </c>
      <c r="I399" t="s">
        <v>76</v>
      </c>
      <c r="L399" t="s">
        <v>83</v>
      </c>
      <c r="M399" t="str">
        <f t="shared" si="15"/>
        <v/>
      </c>
    </row>
    <row r="400" spans="1:15" x14ac:dyDescent="0.45">
      <c r="A400">
        <v>41</v>
      </c>
      <c r="B400" t="s">
        <v>89</v>
      </c>
      <c r="C400" t="str">
        <f t="shared" si="16"/>
        <v>AG41</v>
      </c>
      <c r="E400" s="19">
        <v>45812</v>
      </c>
      <c r="F400" s="2"/>
      <c r="G400" t="s">
        <v>93</v>
      </c>
      <c r="H400" t="s">
        <v>75</v>
      </c>
      <c r="I400" t="s">
        <v>78</v>
      </c>
      <c r="M400" t="str">
        <f t="shared" si="15"/>
        <v/>
      </c>
      <c r="N400">
        <v>2</v>
      </c>
    </row>
    <row r="401" spans="1:15" x14ac:dyDescent="0.45">
      <c r="A401">
        <v>41</v>
      </c>
      <c r="B401" t="s">
        <v>89</v>
      </c>
      <c r="C401" t="str">
        <f t="shared" si="16"/>
        <v>AG41</v>
      </c>
      <c r="E401" s="19">
        <v>45812</v>
      </c>
      <c r="F401" s="2"/>
      <c r="G401" t="s">
        <v>93</v>
      </c>
      <c r="H401" t="s">
        <v>75</v>
      </c>
      <c r="I401" t="s">
        <v>80</v>
      </c>
      <c r="K401" t="s">
        <v>77</v>
      </c>
      <c r="L401">
        <v>0.5</v>
      </c>
      <c r="M401">
        <f t="shared" si="15"/>
        <v>0.1308996938995747</v>
      </c>
    </row>
    <row r="402" spans="1:15" x14ac:dyDescent="0.45">
      <c r="A402">
        <v>41</v>
      </c>
      <c r="B402" t="s">
        <v>89</v>
      </c>
      <c r="C402" t="str">
        <f t="shared" si="16"/>
        <v>AG41</v>
      </c>
      <c r="E402" s="19">
        <v>45812</v>
      </c>
      <c r="F402" s="2"/>
      <c r="G402" t="s">
        <v>93</v>
      </c>
      <c r="H402" t="s">
        <v>81</v>
      </c>
      <c r="I402" t="s">
        <v>76</v>
      </c>
      <c r="L402" t="s">
        <v>83</v>
      </c>
      <c r="M402" t="str">
        <f t="shared" ref="M402:M465" si="17">IF(OR(L402="na", L402=""), "", IF(K402="mm", PI()*(L402/2)^2, IF(K402="ep", PI()*(L402/2)*(L402*(2/3)/2), "")))</f>
        <v/>
      </c>
    </row>
    <row r="403" spans="1:15" x14ac:dyDescent="0.45">
      <c r="A403">
        <v>41</v>
      </c>
      <c r="B403" t="s">
        <v>89</v>
      </c>
      <c r="C403" t="str">
        <f t="shared" si="16"/>
        <v>AG41</v>
      </c>
      <c r="E403" s="19">
        <v>45812</v>
      </c>
      <c r="F403" s="2"/>
      <c r="G403" t="s">
        <v>93</v>
      </c>
      <c r="H403" t="s">
        <v>81</v>
      </c>
      <c r="I403" t="s">
        <v>78</v>
      </c>
      <c r="K403" t="s">
        <v>79</v>
      </c>
      <c r="L403">
        <v>0.2</v>
      </c>
      <c r="M403">
        <f t="shared" si="17"/>
        <v>3.1415926535897934E-2</v>
      </c>
    </row>
    <row r="404" spans="1:15" x14ac:dyDescent="0.45">
      <c r="A404">
        <v>41</v>
      </c>
      <c r="B404" t="s">
        <v>89</v>
      </c>
      <c r="C404" t="str">
        <f t="shared" si="16"/>
        <v>AG41</v>
      </c>
      <c r="E404" s="19">
        <v>45812</v>
      </c>
      <c r="F404" s="2"/>
      <c r="G404" t="s">
        <v>93</v>
      </c>
      <c r="H404" t="s">
        <v>81</v>
      </c>
      <c r="I404" t="s">
        <v>78</v>
      </c>
      <c r="K404" t="s">
        <v>77</v>
      </c>
      <c r="L404">
        <v>0.3</v>
      </c>
      <c r="M404">
        <f t="shared" si="17"/>
        <v>4.7123889803846894E-2</v>
      </c>
    </row>
    <row r="405" spans="1:15" x14ac:dyDescent="0.45">
      <c r="A405">
        <v>41</v>
      </c>
      <c r="B405" t="s">
        <v>89</v>
      </c>
      <c r="C405" t="str">
        <f t="shared" si="16"/>
        <v>AG41</v>
      </c>
      <c r="E405" s="19">
        <v>45812</v>
      </c>
      <c r="F405" s="2"/>
      <c r="G405" t="s">
        <v>93</v>
      </c>
      <c r="H405" t="s">
        <v>81</v>
      </c>
      <c r="I405" t="s">
        <v>80</v>
      </c>
      <c r="K405" t="s">
        <v>79</v>
      </c>
      <c r="L405">
        <v>0.3</v>
      </c>
      <c r="M405">
        <f t="shared" si="17"/>
        <v>7.0685834705770348E-2</v>
      </c>
    </row>
    <row r="406" spans="1:15" x14ac:dyDescent="0.45">
      <c r="A406">
        <v>42</v>
      </c>
      <c r="B406" t="s">
        <v>89</v>
      </c>
      <c r="C406" t="str">
        <f t="shared" si="16"/>
        <v>AG42</v>
      </c>
      <c r="E406" s="19">
        <v>45812</v>
      </c>
      <c r="F406" s="2"/>
      <c r="H406" t="s">
        <v>75</v>
      </c>
      <c r="I406" t="s">
        <v>76</v>
      </c>
      <c r="M406" t="str">
        <f t="shared" si="17"/>
        <v/>
      </c>
      <c r="O406">
        <v>1</v>
      </c>
    </row>
    <row r="407" spans="1:15" x14ac:dyDescent="0.45">
      <c r="A407">
        <v>42</v>
      </c>
      <c r="B407" t="s">
        <v>89</v>
      </c>
      <c r="C407" t="str">
        <f t="shared" si="16"/>
        <v>AG42</v>
      </c>
      <c r="E407" s="19">
        <v>45812</v>
      </c>
      <c r="F407" s="2"/>
      <c r="H407" t="s">
        <v>75</v>
      </c>
      <c r="I407" t="s">
        <v>78</v>
      </c>
      <c r="M407" t="str">
        <f t="shared" si="17"/>
        <v/>
      </c>
      <c r="N407">
        <v>2</v>
      </c>
      <c r="O407">
        <v>1</v>
      </c>
    </row>
    <row r="408" spans="1:15" x14ac:dyDescent="0.45">
      <c r="A408">
        <v>42</v>
      </c>
      <c r="B408" t="s">
        <v>89</v>
      </c>
      <c r="C408" t="str">
        <f t="shared" si="16"/>
        <v>AG42</v>
      </c>
      <c r="E408" s="19">
        <v>45812</v>
      </c>
      <c r="F408" s="2"/>
      <c r="H408" t="s">
        <v>75</v>
      </c>
      <c r="I408" t="s">
        <v>80</v>
      </c>
      <c r="M408" t="str">
        <f t="shared" si="17"/>
        <v/>
      </c>
      <c r="O408">
        <v>1</v>
      </c>
    </row>
    <row r="409" spans="1:15" x14ac:dyDescent="0.45">
      <c r="A409">
        <v>42</v>
      </c>
      <c r="B409" t="s">
        <v>89</v>
      </c>
      <c r="C409" t="str">
        <f t="shared" si="16"/>
        <v>AG42</v>
      </c>
      <c r="E409" s="19">
        <v>45812</v>
      </c>
      <c r="F409" s="2"/>
      <c r="H409" t="s">
        <v>81</v>
      </c>
      <c r="I409" t="s">
        <v>76</v>
      </c>
      <c r="L409" t="s">
        <v>83</v>
      </c>
      <c r="M409" t="str">
        <f t="shared" si="17"/>
        <v/>
      </c>
    </row>
    <row r="410" spans="1:15" x14ac:dyDescent="0.45">
      <c r="A410">
        <v>42</v>
      </c>
      <c r="B410" t="s">
        <v>89</v>
      </c>
      <c r="C410" t="str">
        <f t="shared" si="16"/>
        <v>AG42</v>
      </c>
      <c r="E410" s="19">
        <v>45812</v>
      </c>
      <c r="F410" s="2"/>
      <c r="H410" t="s">
        <v>81</v>
      </c>
      <c r="I410" t="s">
        <v>78</v>
      </c>
      <c r="K410" t="s">
        <v>79</v>
      </c>
      <c r="L410">
        <v>0.4</v>
      </c>
      <c r="M410">
        <f t="shared" si="17"/>
        <v>0.12566370614359174</v>
      </c>
      <c r="O410">
        <v>1</v>
      </c>
    </row>
    <row r="411" spans="1:15" x14ac:dyDescent="0.45">
      <c r="A411">
        <v>42</v>
      </c>
      <c r="B411" t="s">
        <v>89</v>
      </c>
      <c r="C411" t="str">
        <f t="shared" si="16"/>
        <v>AG42</v>
      </c>
      <c r="E411" s="19">
        <v>45812</v>
      </c>
      <c r="F411" s="2"/>
      <c r="H411" t="s">
        <v>81</v>
      </c>
      <c r="I411" t="s">
        <v>80</v>
      </c>
      <c r="M411" t="str">
        <f t="shared" si="17"/>
        <v/>
      </c>
    </row>
    <row r="412" spans="1:15" x14ac:dyDescent="0.45">
      <c r="A412">
        <v>44</v>
      </c>
      <c r="B412" t="s">
        <v>89</v>
      </c>
      <c r="C412" t="str">
        <f t="shared" si="16"/>
        <v>AG44</v>
      </c>
      <c r="E412" s="19">
        <v>45812</v>
      </c>
      <c r="F412" s="2"/>
      <c r="H412" t="s">
        <v>75</v>
      </c>
      <c r="I412" t="s">
        <v>76</v>
      </c>
      <c r="K412" t="s">
        <v>83</v>
      </c>
      <c r="M412" t="str">
        <f t="shared" si="17"/>
        <v/>
      </c>
    </row>
    <row r="413" spans="1:15" x14ac:dyDescent="0.45">
      <c r="A413">
        <v>44</v>
      </c>
      <c r="B413" t="s">
        <v>89</v>
      </c>
      <c r="C413" t="str">
        <f t="shared" si="16"/>
        <v>AG44</v>
      </c>
      <c r="E413" s="19">
        <v>45812</v>
      </c>
      <c r="F413" s="2"/>
      <c r="H413" t="s">
        <v>75</v>
      </c>
      <c r="I413" t="s">
        <v>78</v>
      </c>
      <c r="K413" t="s">
        <v>83</v>
      </c>
      <c r="M413" t="str">
        <f t="shared" si="17"/>
        <v/>
      </c>
    </row>
    <row r="414" spans="1:15" x14ac:dyDescent="0.45">
      <c r="A414">
        <v>44</v>
      </c>
      <c r="B414" t="s">
        <v>89</v>
      </c>
      <c r="C414" t="str">
        <f t="shared" si="16"/>
        <v>AG44</v>
      </c>
      <c r="E414" s="19">
        <v>45812</v>
      </c>
      <c r="F414" s="2"/>
      <c r="H414" t="s">
        <v>75</v>
      </c>
      <c r="I414" t="s">
        <v>80</v>
      </c>
      <c r="K414" t="s">
        <v>77</v>
      </c>
      <c r="L414">
        <v>0.5</v>
      </c>
      <c r="M414">
        <f t="shared" si="17"/>
        <v>0.1308996938995747</v>
      </c>
    </row>
    <row r="415" spans="1:15" x14ac:dyDescent="0.45">
      <c r="A415">
        <v>44</v>
      </c>
      <c r="B415" t="s">
        <v>89</v>
      </c>
      <c r="C415" t="str">
        <f t="shared" si="16"/>
        <v>AG44</v>
      </c>
      <c r="E415" s="19">
        <v>45812</v>
      </c>
      <c r="F415" s="2"/>
      <c r="H415" t="s">
        <v>81</v>
      </c>
      <c r="I415" t="s">
        <v>76</v>
      </c>
      <c r="M415" t="str">
        <f t="shared" si="17"/>
        <v/>
      </c>
      <c r="O415">
        <v>1</v>
      </c>
    </row>
    <row r="416" spans="1:15" x14ac:dyDescent="0.45">
      <c r="A416">
        <v>44</v>
      </c>
      <c r="B416" t="s">
        <v>89</v>
      </c>
      <c r="C416" t="str">
        <f t="shared" si="16"/>
        <v>AG44</v>
      </c>
      <c r="E416" s="19">
        <v>45812</v>
      </c>
      <c r="F416" s="2"/>
      <c r="H416" t="s">
        <v>81</v>
      </c>
      <c r="I416" t="s">
        <v>78</v>
      </c>
      <c r="K416" t="s">
        <v>83</v>
      </c>
      <c r="M416" t="str">
        <f t="shared" si="17"/>
        <v/>
      </c>
    </row>
    <row r="417" spans="1:15" x14ac:dyDescent="0.45">
      <c r="A417">
        <v>44</v>
      </c>
      <c r="B417" t="s">
        <v>89</v>
      </c>
      <c r="C417" t="str">
        <f t="shared" si="16"/>
        <v>AG44</v>
      </c>
      <c r="E417" s="19">
        <v>45812</v>
      </c>
      <c r="F417" s="2"/>
      <c r="H417" t="s">
        <v>81</v>
      </c>
      <c r="I417" t="s">
        <v>80</v>
      </c>
      <c r="K417" t="s">
        <v>83</v>
      </c>
      <c r="M417" t="str">
        <f t="shared" si="17"/>
        <v/>
      </c>
    </row>
    <row r="418" spans="1:15" x14ac:dyDescent="0.45">
      <c r="A418">
        <v>45</v>
      </c>
      <c r="B418" t="s">
        <v>89</v>
      </c>
      <c r="C418" t="str">
        <f t="shared" si="16"/>
        <v>AG45</v>
      </c>
      <c r="E418" s="19">
        <v>45812</v>
      </c>
      <c r="F418" s="2"/>
      <c r="H418" t="s">
        <v>75</v>
      </c>
      <c r="I418" t="s">
        <v>76</v>
      </c>
      <c r="K418" t="s">
        <v>83</v>
      </c>
      <c r="M418" t="str">
        <f t="shared" si="17"/>
        <v/>
      </c>
    </row>
    <row r="419" spans="1:15" x14ac:dyDescent="0.45">
      <c r="A419">
        <v>45</v>
      </c>
      <c r="B419" t="s">
        <v>89</v>
      </c>
      <c r="C419" t="str">
        <f t="shared" si="16"/>
        <v>AG45</v>
      </c>
      <c r="E419" s="19">
        <v>45812</v>
      </c>
      <c r="F419" s="2"/>
      <c r="H419" t="s">
        <v>75</v>
      </c>
      <c r="I419" t="s">
        <v>78</v>
      </c>
      <c r="M419" t="str">
        <f t="shared" si="17"/>
        <v/>
      </c>
      <c r="O419">
        <v>2</v>
      </c>
    </row>
    <row r="420" spans="1:15" x14ac:dyDescent="0.45">
      <c r="A420">
        <v>45</v>
      </c>
      <c r="B420" t="s">
        <v>89</v>
      </c>
      <c r="C420" t="str">
        <f t="shared" si="16"/>
        <v>AG45</v>
      </c>
      <c r="E420" s="19">
        <v>45812</v>
      </c>
      <c r="F420" s="2"/>
      <c r="H420" t="s">
        <v>75</v>
      </c>
      <c r="I420" t="s">
        <v>80</v>
      </c>
      <c r="K420" t="s">
        <v>79</v>
      </c>
      <c r="L420">
        <v>0.2</v>
      </c>
      <c r="M420">
        <f t="shared" si="17"/>
        <v>3.1415926535897934E-2</v>
      </c>
    </row>
    <row r="421" spans="1:15" x14ac:dyDescent="0.45">
      <c r="A421">
        <v>45</v>
      </c>
      <c r="B421" t="s">
        <v>89</v>
      </c>
      <c r="C421" t="str">
        <f t="shared" si="16"/>
        <v>AG45</v>
      </c>
      <c r="E421" s="19">
        <v>45812</v>
      </c>
      <c r="F421" s="2"/>
      <c r="H421" t="s">
        <v>81</v>
      </c>
      <c r="I421" t="s">
        <v>76</v>
      </c>
      <c r="K421" t="s">
        <v>83</v>
      </c>
      <c r="M421" t="str">
        <f t="shared" si="17"/>
        <v/>
      </c>
    </row>
    <row r="422" spans="1:15" x14ac:dyDescent="0.45">
      <c r="A422">
        <v>45</v>
      </c>
      <c r="B422" t="s">
        <v>89</v>
      </c>
      <c r="C422" t="str">
        <f t="shared" si="16"/>
        <v>AG45</v>
      </c>
      <c r="E422" s="19">
        <v>45812</v>
      </c>
      <c r="F422" s="2"/>
      <c r="H422" t="s">
        <v>81</v>
      </c>
      <c r="I422" t="s">
        <v>78</v>
      </c>
      <c r="K422" t="s">
        <v>79</v>
      </c>
      <c r="L422">
        <v>0.1</v>
      </c>
      <c r="M422">
        <f t="shared" si="17"/>
        <v>7.8539816339744835E-3</v>
      </c>
    </row>
    <row r="423" spans="1:15" x14ac:dyDescent="0.45">
      <c r="A423">
        <v>45</v>
      </c>
      <c r="B423" t="s">
        <v>89</v>
      </c>
      <c r="C423" t="str">
        <f t="shared" si="16"/>
        <v>AG45</v>
      </c>
      <c r="E423" s="19">
        <v>45812</v>
      </c>
      <c r="F423" s="2"/>
      <c r="H423" t="s">
        <v>81</v>
      </c>
      <c r="I423" t="s">
        <v>78</v>
      </c>
      <c r="K423" t="s">
        <v>79</v>
      </c>
      <c r="L423">
        <v>0.1</v>
      </c>
      <c r="M423">
        <f t="shared" si="17"/>
        <v>7.8539816339744835E-3</v>
      </c>
    </row>
    <row r="424" spans="1:15" x14ac:dyDescent="0.45">
      <c r="A424">
        <v>45</v>
      </c>
      <c r="B424" t="s">
        <v>89</v>
      </c>
      <c r="C424" t="str">
        <f t="shared" si="16"/>
        <v>AG45</v>
      </c>
      <c r="E424" s="19">
        <v>45812</v>
      </c>
      <c r="F424" s="2"/>
      <c r="H424" t="s">
        <v>81</v>
      </c>
      <c r="I424" t="s">
        <v>80</v>
      </c>
      <c r="K424" t="s">
        <v>79</v>
      </c>
      <c r="L424">
        <v>0.1</v>
      </c>
      <c r="M424">
        <f t="shared" si="17"/>
        <v>7.8539816339744835E-3</v>
      </c>
    </row>
    <row r="425" spans="1:15" x14ac:dyDescent="0.45">
      <c r="A425">
        <v>46</v>
      </c>
      <c r="B425" t="s">
        <v>89</v>
      </c>
      <c r="C425" t="str">
        <f t="shared" si="16"/>
        <v>AG46</v>
      </c>
      <c r="E425" s="19">
        <v>45812</v>
      </c>
      <c r="F425" s="2"/>
      <c r="H425" t="s">
        <v>75</v>
      </c>
      <c r="I425" t="s">
        <v>76</v>
      </c>
      <c r="K425" t="s">
        <v>83</v>
      </c>
      <c r="M425" t="str">
        <f t="shared" si="17"/>
        <v/>
      </c>
    </row>
    <row r="426" spans="1:15" x14ac:dyDescent="0.45">
      <c r="A426">
        <v>46</v>
      </c>
      <c r="B426" t="s">
        <v>89</v>
      </c>
      <c r="C426" t="str">
        <f t="shared" si="16"/>
        <v>AG46</v>
      </c>
      <c r="E426" s="19">
        <v>45812</v>
      </c>
      <c r="F426" s="2"/>
      <c r="H426" t="s">
        <v>75</v>
      </c>
      <c r="I426" t="s">
        <v>78</v>
      </c>
      <c r="K426" t="s">
        <v>79</v>
      </c>
      <c r="L426">
        <v>0.2</v>
      </c>
      <c r="M426">
        <f t="shared" si="17"/>
        <v>3.1415926535897934E-2</v>
      </c>
    </row>
    <row r="427" spans="1:15" x14ac:dyDescent="0.45">
      <c r="A427">
        <v>46</v>
      </c>
      <c r="B427" t="s">
        <v>89</v>
      </c>
      <c r="C427" t="str">
        <f t="shared" si="16"/>
        <v>AG46</v>
      </c>
      <c r="E427" s="19">
        <v>45812</v>
      </c>
      <c r="F427" s="2"/>
      <c r="H427" t="s">
        <v>75</v>
      </c>
      <c r="I427" t="s">
        <v>80</v>
      </c>
      <c r="K427" t="s">
        <v>79</v>
      </c>
      <c r="L427">
        <v>0.2</v>
      </c>
      <c r="M427">
        <f t="shared" si="17"/>
        <v>3.1415926535897934E-2</v>
      </c>
    </row>
    <row r="428" spans="1:15" x14ac:dyDescent="0.45">
      <c r="A428">
        <v>46</v>
      </c>
      <c r="B428" t="s">
        <v>89</v>
      </c>
      <c r="C428" t="str">
        <f t="shared" si="16"/>
        <v>AG46</v>
      </c>
      <c r="E428" s="19">
        <v>45812</v>
      </c>
      <c r="F428" s="2"/>
      <c r="H428" t="s">
        <v>81</v>
      </c>
      <c r="I428" t="s">
        <v>76</v>
      </c>
      <c r="K428" t="s">
        <v>83</v>
      </c>
      <c r="M428" t="str">
        <f t="shared" si="17"/>
        <v/>
      </c>
    </row>
    <row r="429" spans="1:15" x14ac:dyDescent="0.45">
      <c r="A429">
        <v>46</v>
      </c>
      <c r="B429" t="s">
        <v>89</v>
      </c>
      <c r="C429" t="str">
        <f t="shared" si="16"/>
        <v>AG46</v>
      </c>
      <c r="E429" s="19">
        <v>45812</v>
      </c>
      <c r="F429" s="2"/>
      <c r="H429" t="s">
        <v>81</v>
      </c>
      <c r="I429" t="s">
        <v>78</v>
      </c>
      <c r="M429" t="str">
        <f t="shared" si="17"/>
        <v/>
      </c>
      <c r="N429">
        <v>1</v>
      </c>
      <c r="O429">
        <v>10</v>
      </c>
    </row>
    <row r="430" spans="1:15" x14ac:dyDescent="0.45">
      <c r="A430">
        <v>46</v>
      </c>
      <c r="B430" t="s">
        <v>89</v>
      </c>
      <c r="C430" t="str">
        <f t="shared" si="16"/>
        <v>AG46</v>
      </c>
      <c r="E430" s="19">
        <v>45812</v>
      </c>
      <c r="F430" s="2"/>
      <c r="H430" t="s">
        <v>81</v>
      </c>
      <c r="I430" t="s">
        <v>80</v>
      </c>
      <c r="K430" t="s">
        <v>77</v>
      </c>
      <c r="L430">
        <v>0.8</v>
      </c>
      <c r="M430">
        <f t="shared" si="17"/>
        <v>0.33510321638291124</v>
      </c>
    </row>
    <row r="431" spans="1:15" x14ac:dyDescent="0.45">
      <c r="A431">
        <v>47</v>
      </c>
      <c r="B431" t="s">
        <v>89</v>
      </c>
      <c r="C431" t="str">
        <f t="shared" si="16"/>
        <v>AG47</v>
      </c>
      <c r="E431" s="19">
        <v>45812</v>
      </c>
      <c r="F431" s="2"/>
      <c r="H431" t="s">
        <v>75</v>
      </c>
      <c r="I431" t="s">
        <v>76</v>
      </c>
      <c r="L431" t="s">
        <v>83</v>
      </c>
      <c r="M431" t="str">
        <f t="shared" si="17"/>
        <v/>
      </c>
    </row>
    <row r="432" spans="1:15" x14ac:dyDescent="0.45">
      <c r="A432">
        <v>47</v>
      </c>
      <c r="B432" t="s">
        <v>89</v>
      </c>
      <c r="C432" t="str">
        <f t="shared" si="16"/>
        <v>AG47</v>
      </c>
      <c r="E432" s="19">
        <v>45812</v>
      </c>
      <c r="F432" s="2"/>
      <c r="H432" t="s">
        <v>75</v>
      </c>
      <c r="I432" t="s">
        <v>78</v>
      </c>
      <c r="K432" t="s">
        <v>79</v>
      </c>
      <c r="L432">
        <v>0.5</v>
      </c>
      <c r="M432">
        <f t="shared" si="17"/>
        <v>0.19634954084936207</v>
      </c>
    </row>
    <row r="433" spans="1:15" x14ac:dyDescent="0.45">
      <c r="A433">
        <v>47</v>
      </c>
      <c r="B433" t="s">
        <v>89</v>
      </c>
      <c r="C433" t="str">
        <f t="shared" si="16"/>
        <v>AG47</v>
      </c>
      <c r="E433" s="19">
        <v>45812</v>
      </c>
      <c r="F433" s="2"/>
      <c r="H433" t="s">
        <v>75</v>
      </c>
      <c r="I433" t="s">
        <v>80</v>
      </c>
      <c r="K433" t="s">
        <v>79</v>
      </c>
      <c r="L433">
        <v>0.2</v>
      </c>
      <c r="M433">
        <f t="shared" si="17"/>
        <v>3.1415926535897934E-2</v>
      </c>
      <c r="O433">
        <v>1</v>
      </c>
    </row>
    <row r="434" spans="1:15" x14ac:dyDescent="0.45">
      <c r="A434">
        <v>47</v>
      </c>
      <c r="B434" t="s">
        <v>89</v>
      </c>
      <c r="C434" t="str">
        <f t="shared" si="16"/>
        <v>AG47</v>
      </c>
      <c r="E434" s="19">
        <v>45812</v>
      </c>
      <c r="F434" s="2"/>
      <c r="H434" t="s">
        <v>81</v>
      </c>
      <c r="I434" t="s">
        <v>76</v>
      </c>
      <c r="L434" t="s">
        <v>83</v>
      </c>
      <c r="M434" t="str">
        <f t="shared" si="17"/>
        <v/>
      </c>
      <c r="O434">
        <v>1</v>
      </c>
    </row>
    <row r="435" spans="1:15" x14ac:dyDescent="0.45">
      <c r="A435">
        <v>47</v>
      </c>
      <c r="B435" t="s">
        <v>89</v>
      </c>
      <c r="C435" t="str">
        <f t="shared" si="16"/>
        <v>AG47</v>
      </c>
      <c r="E435" s="19">
        <v>45812</v>
      </c>
      <c r="F435" s="2"/>
      <c r="H435" t="s">
        <v>81</v>
      </c>
      <c r="I435" t="s">
        <v>78</v>
      </c>
      <c r="L435" t="s">
        <v>83</v>
      </c>
      <c r="M435" t="str">
        <f t="shared" si="17"/>
        <v/>
      </c>
    </row>
    <row r="436" spans="1:15" x14ac:dyDescent="0.45">
      <c r="A436">
        <v>47</v>
      </c>
      <c r="B436" t="s">
        <v>89</v>
      </c>
      <c r="C436" t="str">
        <f t="shared" si="16"/>
        <v>AG47</v>
      </c>
      <c r="E436" s="19">
        <v>45812</v>
      </c>
      <c r="F436" s="2"/>
      <c r="H436" t="s">
        <v>81</v>
      </c>
      <c r="I436" t="s">
        <v>80</v>
      </c>
      <c r="K436" t="s">
        <v>79</v>
      </c>
      <c r="L436">
        <v>0.1</v>
      </c>
      <c r="M436">
        <f t="shared" si="17"/>
        <v>7.8539816339744835E-3</v>
      </c>
    </row>
    <row r="437" spans="1:15" x14ac:dyDescent="0.45">
      <c r="A437">
        <v>47</v>
      </c>
      <c r="B437" t="s">
        <v>89</v>
      </c>
      <c r="C437" t="str">
        <f t="shared" si="16"/>
        <v>AG47</v>
      </c>
      <c r="E437" s="19">
        <v>45812</v>
      </c>
      <c r="F437" s="2"/>
      <c r="H437" t="s">
        <v>81</v>
      </c>
      <c r="I437" t="s">
        <v>80</v>
      </c>
      <c r="K437" t="s">
        <v>79</v>
      </c>
      <c r="L437">
        <v>0.4</v>
      </c>
      <c r="M437">
        <f t="shared" si="17"/>
        <v>0.12566370614359174</v>
      </c>
    </row>
    <row r="438" spans="1:15" x14ac:dyDescent="0.45">
      <c r="A438">
        <v>48</v>
      </c>
      <c r="B438" t="s">
        <v>89</v>
      </c>
      <c r="C438" t="str">
        <f t="shared" si="16"/>
        <v>AG48</v>
      </c>
      <c r="E438" s="19">
        <v>45812</v>
      </c>
      <c r="F438" s="2"/>
      <c r="H438" t="s">
        <v>75</v>
      </c>
      <c r="I438" t="s">
        <v>76</v>
      </c>
      <c r="K438" t="s">
        <v>83</v>
      </c>
      <c r="M438" t="str">
        <f t="shared" si="17"/>
        <v/>
      </c>
    </row>
    <row r="439" spans="1:15" x14ac:dyDescent="0.45">
      <c r="A439">
        <v>48</v>
      </c>
      <c r="B439" t="s">
        <v>89</v>
      </c>
      <c r="C439" t="str">
        <f t="shared" si="16"/>
        <v>AG48</v>
      </c>
      <c r="E439" s="19">
        <v>45812</v>
      </c>
      <c r="F439" s="2"/>
      <c r="H439" t="s">
        <v>75</v>
      </c>
      <c r="I439" t="s">
        <v>78</v>
      </c>
      <c r="K439" t="s">
        <v>79</v>
      </c>
      <c r="L439">
        <v>1</v>
      </c>
      <c r="M439">
        <f t="shared" si="17"/>
        <v>0.78539816339744828</v>
      </c>
      <c r="N439">
        <v>2</v>
      </c>
    </row>
    <row r="440" spans="1:15" x14ac:dyDescent="0.45">
      <c r="A440">
        <v>48</v>
      </c>
      <c r="B440" t="s">
        <v>89</v>
      </c>
      <c r="C440" t="str">
        <f t="shared" si="16"/>
        <v>AG48</v>
      </c>
      <c r="E440" s="19">
        <v>45812</v>
      </c>
      <c r="F440" s="2"/>
      <c r="H440" t="s">
        <v>75</v>
      </c>
      <c r="I440" t="s">
        <v>78</v>
      </c>
      <c r="K440" t="s">
        <v>77</v>
      </c>
      <c r="L440">
        <v>0.5</v>
      </c>
      <c r="M440">
        <f t="shared" si="17"/>
        <v>0.1308996938995747</v>
      </c>
    </row>
    <row r="441" spans="1:15" x14ac:dyDescent="0.45">
      <c r="A441">
        <v>48</v>
      </c>
      <c r="B441" t="s">
        <v>89</v>
      </c>
      <c r="C441" t="str">
        <f t="shared" si="16"/>
        <v>AG48</v>
      </c>
      <c r="E441" s="19">
        <v>45812</v>
      </c>
      <c r="F441" s="2"/>
      <c r="H441" t="s">
        <v>75</v>
      </c>
      <c r="I441" t="s">
        <v>80</v>
      </c>
      <c r="K441" t="s">
        <v>79</v>
      </c>
      <c r="L441">
        <v>0.2</v>
      </c>
      <c r="M441">
        <f t="shared" si="17"/>
        <v>3.1415926535897934E-2</v>
      </c>
    </row>
    <row r="442" spans="1:15" x14ac:dyDescent="0.45">
      <c r="A442">
        <v>48</v>
      </c>
      <c r="B442" t="s">
        <v>89</v>
      </c>
      <c r="C442" t="str">
        <f t="shared" si="16"/>
        <v>AG48</v>
      </c>
      <c r="E442" s="19">
        <v>45812</v>
      </c>
      <c r="F442" s="2"/>
      <c r="H442" t="s">
        <v>81</v>
      </c>
      <c r="I442" t="s">
        <v>76</v>
      </c>
      <c r="K442" t="s">
        <v>83</v>
      </c>
      <c r="M442" t="str">
        <f t="shared" si="17"/>
        <v/>
      </c>
    </row>
    <row r="443" spans="1:15" x14ac:dyDescent="0.45">
      <c r="A443">
        <v>48</v>
      </c>
      <c r="B443" t="s">
        <v>89</v>
      </c>
      <c r="C443" t="str">
        <f t="shared" si="16"/>
        <v>AG48</v>
      </c>
      <c r="E443" s="19">
        <v>45812</v>
      </c>
      <c r="F443" s="2"/>
      <c r="H443" t="s">
        <v>81</v>
      </c>
      <c r="I443" t="s">
        <v>78</v>
      </c>
      <c r="K443" t="s">
        <v>79</v>
      </c>
      <c r="L443">
        <v>0.4</v>
      </c>
      <c r="M443">
        <f t="shared" si="17"/>
        <v>0.12566370614359174</v>
      </c>
    </row>
    <row r="444" spans="1:15" x14ac:dyDescent="0.45">
      <c r="A444">
        <v>48</v>
      </c>
      <c r="B444" t="s">
        <v>89</v>
      </c>
      <c r="C444" t="str">
        <f t="shared" si="16"/>
        <v>AG48</v>
      </c>
      <c r="E444" s="19">
        <v>45812</v>
      </c>
      <c r="F444" s="2"/>
      <c r="H444" t="s">
        <v>81</v>
      </c>
      <c r="I444" t="s">
        <v>78</v>
      </c>
      <c r="K444" t="s">
        <v>77</v>
      </c>
      <c r="L444">
        <v>0.3</v>
      </c>
      <c r="M444">
        <f t="shared" si="17"/>
        <v>4.7123889803846894E-2</v>
      </c>
      <c r="N444">
        <v>1</v>
      </c>
    </row>
    <row r="445" spans="1:15" x14ac:dyDescent="0.45">
      <c r="A445">
        <v>48</v>
      </c>
      <c r="B445" t="s">
        <v>89</v>
      </c>
      <c r="C445" t="str">
        <f t="shared" si="16"/>
        <v>AG48</v>
      </c>
      <c r="E445" s="19">
        <v>45812</v>
      </c>
      <c r="F445" s="2"/>
      <c r="H445" t="s">
        <v>81</v>
      </c>
      <c r="I445" t="s">
        <v>80</v>
      </c>
      <c r="K445" t="s">
        <v>83</v>
      </c>
      <c r="M445" t="str">
        <f t="shared" si="17"/>
        <v/>
      </c>
    </row>
    <row r="446" spans="1:15" x14ac:dyDescent="0.45">
      <c r="A446" t="s">
        <v>94</v>
      </c>
      <c r="C446" t="s">
        <v>95</v>
      </c>
      <c r="E446" s="19">
        <v>45812</v>
      </c>
      <c r="F446" s="2"/>
      <c r="G446" t="s">
        <v>96</v>
      </c>
      <c r="H446" t="s">
        <v>75</v>
      </c>
      <c r="I446" t="s">
        <v>76</v>
      </c>
      <c r="K446" t="s">
        <v>83</v>
      </c>
      <c r="M446" t="str">
        <f t="shared" si="17"/>
        <v/>
      </c>
    </row>
    <row r="447" spans="1:15" x14ac:dyDescent="0.45">
      <c r="A447" t="s">
        <v>94</v>
      </c>
      <c r="C447" t="s">
        <v>95</v>
      </c>
      <c r="E447" s="19">
        <v>45812</v>
      </c>
      <c r="F447" s="2"/>
      <c r="G447" t="s">
        <v>96</v>
      </c>
      <c r="H447" t="s">
        <v>75</v>
      </c>
      <c r="I447" t="s">
        <v>78</v>
      </c>
      <c r="K447" t="s">
        <v>77</v>
      </c>
      <c r="L447">
        <v>0.3</v>
      </c>
      <c r="M447">
        <f t="shared" si="17"/>
        <v>4.7123889803846894E-2</v>
      </c>
    </row>
    <row r="448" spans="1:15" x14ac:dyDescent="0.45">
      <c r="A448" t="s">
        <v>94</v>
      </c>
      <c r="C448" t="s">
        <v>95</v>
      </c>
      <c r="E448" s="19">
        <v>45812</v>
      </c>
      <c r="F448" s="2"/>
      <c r="G448" t="s">
        <v>96</v>
      </c>
      <c r="H448" t="s">
        <v>75</v>
      </c>
      <c r="I448" t="s">
        <v>80</v>
      </c>
      <c r="K448" t="s">
        <v>77</v>
      </c>
      <c r="L448">
        <v>0.5</v>
      </c>
      <c r="M448">
        <f t="shared" si="17"/>
        <v>0.1308996938995747</v>
      </c>
      <c r="O448">
        <v>1</v>
      </c>
    </row>
    <row r="449" spans="1:15" x14ac:dyDescent="0.45">
      <c r="A449" t="s">
        <v>94</v>
      </c>
      <c r="C449" t="s">
        <v>95</v>
      </c>
      <c r="E449" s="19">
        <v>45812</v>
      </c>
      <c r="F449" s="2"/>
      <c r="G449" t="s">
        <v>96</v>
      </c>
      <c r="H449" t="s">
        <v>81</v>
      </c>
      <c r="I449" t="s">
        <v>76</v>
      </c>
      <c r="K449" t="s">
        <v>83</v>
      </c>
      <c r="M449" t="str">
        <f t="shared" si="17"/>
        <v/>
      </c>
    </row>
    <row r="450" spans="1:15" x14ac:dyDescent="0.45">
      <c r="A450" t="s">
        <v>94</v>
      </c>
      <c r="C450" t="s">
        <v>95</v>
      </c>
      <c r="E450" s="19">
        <v>45812</v>
      </c>
      <c r="F450" s="2"/>
      <c r="G450" t="s">
        <v>96</v>
      </c>
      <c r="H450" t="s">
        <v>81</v>
      </c>
      <c r="I450" t="s">
        <v>78</v>
      </c>
      <c r="K450" t="s">
        <v>77</v>
      </c>
      <c r="L450">
        <v>0.3</v>
      </c>
      <c r="M450">
        <f t="shared" si="17"/>
        <v>4.7123889803846894E-2</v>
      </c>
      <c r="N450">
        <v>10</v>
      </c>
    </row>
    <row r="451" spans="1:15" x14ac:dyDescent="0.45">
      <c r="A451" t="s">
        <v>94</v>
      </c>
      <c r="C451" t="s">
        <v>95</v>
      </c>
      <c r="E451" s="19">
        <v>45812</v>
      </c>
      <c r="F451" s="2"/>
      <c r="G451" t="s">
        <v>96</v>
      </c>
      <c r="H451" t="s">
        <v>81</v>
      </c>
      <c r="I451" t="s">
        <v>80</v>
      </c>
      <c r="K451" t="s">
        <v>77</v>
      </c>
      <c r="L451">
        <v>0.6</v>
      </c>
      <c r="M451">
        <f t="shared" si="17"/>
        <v>0.18849555921538758</v>
      </c>
      <c r="N451">
        <v>5</v>
      </c>
    </row>
    <row r="452" spans="1:15" x14ac:dyDescent="0.45">
      <c r="A452" t="s">
        <v>94</v>
      </c>
      <c r="C452" t="s">
        <v>95</v>
      </c>
      <c r="E452" s="19">
        <v>45812</v>
      </c>
      <c r="F452" s="2"/>
      <c r="G452" t="s">
        <v>96</v>
      </c>
      <c r="H452" t="s">
        <v>81</v>
      </c>
      <c r="I452" t="s">
        <v>80</v>
      </c>
      <c r="K452" t="s">
        <v>79</v>
      </c>
      <c r="L452">
        <v>0.8</v>
      </c>
      <c r="M452">
        <f t="shared" si="17"/>
        <v>0.50265482457436694</v>
      </c>
    </row>
    <row r="453" spans="1:15" x14ac:dyDescent="0.45">
      <c r="A453" t="s">
        <v>94</v>
      </c>
      <c r="C453" t="s">
        <v>95</v>
      </c>
      <c r="E453" s="19">
        <v>45812</v>
      </c>
      <c r="F453" s="2"/>
      <c r="G453" t="s">
        <v>96</v>
      </c>
      <c r="H453" t="s">
        <v>81</v>
      </c>
      <c r="I453" t="s">
        <v>80</v>
      </c>
      <c r="K453" t="s">
        <v>79</v>
      </c>
      <c r="L453">
        <v>0.4</v>
      </c>
      <c r="M453">
        <f t="shared" si="17"/>
        <v>0.12566370614359174</v>
      </c>
    </row>
    <row r="454" spans="1:15" x14ac:dyDescent="0.45">
      <c r="A454" t="s">
        <v>94</v>
      </c>
      <c r="C454" t="s">
        <v>95</v>
      </c>
      <c r="E454" s="19">
        <v>45812</v>
      </c>
      <c r="F454" s="2"/>
      <c r="G454" t="s">
        <v>96</v>
      </c>
      <c r="H454" t="s">
        <v>81</v>
      </c>
      <c r="I454" t="s">
        <v>80</v>
      </c>
      <c r="K454" t="s">
        <v>77</v>
      </c>
      <c r="L454">
        <v>1</v>
      </c>
      <c r="M454">
        <f t="shared" si="17"/>
        <v>0.52359877559829882</v>
      </c>
    </row>
    <row r="455" spans="1:15" x14ac:dyDescent="0.45">
      <c r="A455" t="s">
        <v>94</v>
      </c>
      <c r="C455" t="s">
        <v>95</v>
      </c>
      <c r="E455" s="19">
        <v>45812</v>
      </c>
      <c r="F455" s="2"/>
      <c r="G455" t="s">
        <v>96</v>
      </c>
      <c r="H455" t="s">
        <v>81</v>
      </c>
      <c r="I455" t="s">
        <v>80</v>
      </c>
      <c r="K455" t="s">
        <v>77</v>
      </c>
      <c r="L455">
        <v>0.2</v>
      </c>
      <c r="M455">
        <f t="shared" si="17"/>
        <v>2.0943951023931952E-2</v>
      </c>
    </row>
    <row r="456" spans="1:15" x14ac:dyDescent="0.45">
      <c r="A456" t="s">
        <v>97</v>
      </c>
      <c r="C456" t="s">
        <v>98</v>
      </c>
      <c r="E456" s="19">
        <v>45812</v>
      </c>
      <c r="F456" s="2"/>
      <c r="G456" t="s">
        <v>99</v>
      </c>
      <c r="H456" t="s">
        <v>75</v>
      </c>
      <c r="I456" t="s">
        <v>76</v>
      </c>
      <c r="K456" t="s">
        <v>83</v>
      </c>
      <c r="M456" t="str">
        <f t="shared" si="17"/>
        <v/>
      </c>
    </row>
    <row r="457" spans="1:15" x14ac:dyDescent="0.45">
      <c r="A457" t="s">
        <v>97</v>
      </c>
      <c r="C457" t="s">
        <v>98</v>
      </c>
      <c r="E457" s="19">
        <v>45812</v>
      </c>
      <c r="F457" s="2"/>
      <c r="G457" t="s">
        <v>99</v>
      </c>
      <c r="H457" t="s">
        <v>75</v>
      </c>
      <c r="I457" t="s">
        <v>76</v>
      </c>
      <c r="K457" t="s">
        <v>79</v>
      </c>
      <c r="L457">
        <v>0.2</v>
      </c>
      <c r="M457">
        <f t="shared" si="17"/>
        <v>3.1415926535897934E-2</v>
      </c>
    </row>
    <row r="458" spans="1:15" x14ac:dyDescent="0.45">
      <c r="A458" t="s">
        <v>97</v>
      </c>
      <c r="C458" t="s">
        <v>98</v>
      </c>
      <c r="E458" s="19">
        <v>45812</v>
      </c>
      <c r="F458" s="2"/>
      <c r="G458" t="s">
        <v>99</v>
      </c>
      <c r="H458" t="s">
        <v>75</v>
      </c>
      <c r="I458" t="s">
        <v>76</v>
      </c>
      <c r="K458" t="s">
        <v>79</v>
      </c>
      <c r="L458">
        <v>1</v>
      </c>
      <c r="M458">
        <f t="shared" si="17"/>
        <v>0.78539816339744828</v>
      </c>
    </row>
    <row r="459" spans="1:15" x14ac:dyDescent="0.45">
      <c r="A459" t="s">
        <v>97</v>
      </c>
      <c r="C459" t="s">
        <v>98</v>
      </c>
      <c r="E459" s="19">
        <v>45812</v>
      </c>
      <c r="F459" s="2"/>
      <c r="G459" t="s">
        <v>99</v>
      </c>
      <c r="H459" t="s">
        <v>75</v>
      </c>
      <c r="I459" t="s">
        <v>78</v>
      </c>
      <c r="K459" t="s">
        <v>79</v>
      </c>
      <c r="L459">
        <v>1</v>
      </c>
      <c r="M459">
        <f t="shared" si="17"/>
        <v>0.78539816339744828</v>
      </c>
    </row>
    <row r="460" spans="1:15" x14ac:dyDescent="0.45">
      <c r="A460" t="s">
        <v>97</v>
      </c>
      <c r="C460" t="s">
        <v>98</v>
      </c>
      <c r="E460" s="19">
        <v>45812</v>
      </c>
      <c r="F460" s="2"/>
      <c r="G460" t="s">
        <v>99</v>
      </c>
      <c r="H460" t="s">
        <v>75</v>
      </c>
      <c r="I460" t="s">
        <v>78</v>
      </c>
      <c r="K460" t="s">
        <v>77</v>
      </c>
      <c r="L460">
        <v>1</v>
      </c>
      <c r="M460">
        <f t="shared" si="17"/>
        <v>0.52359877559829882</v>
      </c>
    </row>
    <row r="461" spans="1:15" x14ac:dyDescent="0.45">
      <c r="A461" t="s">
        <v>97</v>
      </c>
      <c r="C461" t="s">
        <v>98</v>
      </c>
      <c r="E461" s="19">
        <v>45812</v>
      </c>
      <c r="F461" s="2"/>
      <c r="G461" t="s">
        <v>99</v>
      </c>
      <c r="H461" t="s">
        <v>75</v>
      </c>
      <c r="I461" t="s">
        <v>78</v>
      </c>
      <c r="K461" t="s">
        <v>77</v>
      </c>
      <c r="L461">
        <v>0.5</v>
      </c>
      <c r="M461">
        <f t="shared" si="17"/>
        <v>0.1308996938995747</v>
      </c>
    </row>
    <row r="462" spans="1:15" x14ac:dyDescent="0.45">
      <c r="A462" t="s">
        <v>97</v>
      </c>
      <c r="C462" t="s">
        <v>98</v>
      </c>
      <c r="E462" s="19">
        <v>45812</v>
      </c>
      <c r="F462" s="2"/>
      <c r="G462" t="s">
        <v>99</v>
      </c>
      <c r="H462" t="s">
        <v>75</v>
      </c>
      <c r="I462" t="s">
        <v>80</v>
      </c>
      <c r="K462" t="s">
        <v>77</v>
      </c>
      <c r="L462">
        <v>1.5</v>
      </c>
      <c r="M462">
        <f t="shared" si="17"/>
        <v>1.1780972450961724</v>
      </c>
      <c r="N462">
        <v>3</v>
      </c>
      <c r="O462">
        <v>1</v>
      </c>
    </row>
    <row r="463" spans="1:15" x14ac:dyDescent="0.45">
      <c r="A463" t="s">
        <v>97</v>
      </c>
      <c r="C463" t="s">
        <v>98</v>
      </c>
      <c r="E463" s="19">
        <v>45812</v>
      </c>
      <c r="F463" s="2"/>
      <c r="G463" t="s">
        <v>99</v>
      </c>
      <c r="H463" t="s">
        <v>75</v>
      </c>
      <c r="I463" t="s">
        <v>80</v>
      </c>
      <c r="K463" t="s">
        <v>77</v>
      </c>
      <c r="L463">
        <v>1</v>
      </c>
      <c r="M463">
        <f t="shared" si="17"/>
        <v>0.52359877559829882</v>
      </c>
    </row>
    <row r="464" spans="1:15" x14ac:dyDescent="0.45">
      <c r="A464" t="s">
        <v>97</v>
      </c>
      <c r="C464" t="s">
        <v>98</v>
      </c>
      <c r="E464" s="19">
        <v>45812</v>
      </c>
      <c r="F464" s="2"/>
      <c r="G464" t="s">
        <v>99</v>
      </c>
      <c r="H464" t="s">
        <v>75</v>
      </c>
      <c r="I464" t="s">
        <v>80</v>
      </c>
      <c r="K464" t="s">
        <v>77</v>
      </c>
      <c r="L464">
        <v>1.3</v>
      </c>
      <c r="M464">
        <f t="shared" si="17"/>
        <v>0.88488193076112509</v>
      </c>
    </row>
    <row r="465" spans="1:15" x14ac:dyDescent="0.45">
      <c r="A465" t="s">
        <v>97</v>
      </c>
      <c r="C465" t="s">
        <v>98</v>
      </c>
      <c r="E465" s="19">
        <v>45812</v>
      </c>
      <c r="F465" s="2"/>
      <c r="G465" t="s">
        <v>99</v>
      </c>
      <c r="H465" t="s">
        <v>81</v>
      </c>
      <c r="I465" t="s">
        <v>76</v>
      </c>
      <c r="K465" t="s">
        <v>83</v>
      </c>
      <c r="M465" t="str">
        <f t="shared" si="17"/>
        <v/>
      </c>
    </row>
    <row r="466" spans="1:15" x14ac:dyDescent="0.45">
      <c r="A466" t="s">
        <v>97</v>
      </c>
      <c r="C466" t="s">
        <v>98</v>
      </c>
      <c r="E466" s="19">
        <v>45812</v>
      </c>
      <c r="F466" s="2"/>
      <c r="G466" t="s">
        <v>99</v>
      </c>
      <c r="H466" t="s">
        <v>81</v>
      </c>
      <c r="I466" t="s">
        <v>78</v>
      </c>
      <c r="K466" t="s">
        <v>79</v>
      </c>
      <c r="L466">
        <v>0.2</v>
      </c>
      <c r="M466">
        <f t="shared" ref="M466:M529" si="18">IF(OR(L466="na", L466=""), "", IF(K466="mm", PI()*(L466/2)^2, IF(K466="ep", PI()*(L466/2)*(L466*(2/3)/2), "")))</f>
        <v>3.1415926535897934E-2</v>
      </c>
    </row>
    <row r="467" spans="1:15" x14ac:dyDescent="0.45">
      <c r="A467" t="s">
        <v>97</v>
      </c>
      <c r="C467" t="s">
        <v>98</v>
      </c>
      <c r="E467" s="19">
        <v>45812</v>
      </c>
      <c r="F467" s="2"/>
      <c r="G467" t="s">
        <v>99</v>
      </c>
      <c r="H467" t="s">
        <v>81</v>
      </c>
      <c r="I467" t="s">
        <v>78</v>
      </c>
      <c r="K467" t="s">
        <v>79</v>
      </c>
      <c r="L467">
        <v>0.3</v>
      </c>
      <c r="M467">
        <f t="shared" si="18"/>
        <v>7.0685834705770348E-2</v>
      </c>
    </row>
    <row r="468" spans="1:15" x14ac:dyDescent="0.45">
      <c r="A468" t="s">
        <v>97</v>
      </c>
      <c r="C468" t="s">
        <v>98</v>
      </c>
      <c r="E468" s="19">
        <v>45812</v>
      </c>
      <c r="F468" s="2"/>
      <c r="G468" t="s">
        <v>99</v>
      </c>
      <c r="H468" t="s">
        <v>81</v>
      </c>
      <c r="I468" t="s">
        <v>80</v>
      </c>
      <c r="K468" t="s">
        <v>79</v>
      </c>
      <c r="L468">
        <v>1.5</v>
      </c>
      <c r="M468">
        <f t="shared" si="18"/>
        <v>1.7671458676442586</v>
      </c>
    </row>
    <row r="469" spans="1:15" x14ac:dyDescent="0.45">
      <c r="A469" t="s">
        <v>97</v>
      </c>
      <c r="C469" t="s">
        <v>98</v>
      </c>
      <c r="E469" s="19">
        <v>45812</v>
      </c>
      <c r="F469" s="2"/>
      <c r="G469" t="s">
        <v>99</v>
      </c>
      <c r="H469" t="s">
        <v>81</v>
      </c>
      <c r="I469" t="s">
        <v>80</v>
      </c>
      <c r="K469" t="s">
        <v>79</v>
      </c>
      <c r="L469">
        <v>1</v>
      </c>
      <c r="M469">
        <f t="shared" si="18"/>
        <v>0.78539816339744828</v>
      </c>
    </row>
    <row r="470" spans="1:15" x14ac:dyDescent="0.45">
      <c r="A470" t="s">
        <v>97</v>
      </c>
      <c r="C470" t="s">
        <v>98</v>
      </c>
      <c r="E470" s="19">
        <v>45812</v>
      </c>
      <c r="F470" s="2"/>
      <c r="G470" t="s">
        <v>99</v>
      </c>
      <c r="H470" t="s">
        <v>81</v>
      </c>
      <c r="I470" t="s">
        <v>80</v>
      </c>
      <c r="K470" t="s">
        <v>79</v>
      </c>
      <c r="L470">
        <v>1.5</v>
      </c>
      <c r="M470">
        <f t="shared" si="18"/>
        <v>1.7671458676442586</v>
      </c>
    </row>
    <row r="471" spans="1:15" x14ac:dyDescent="0.45">
      <c r="A471" t="s">
        <v>97</v>
      </c>
      <c r="C471" t="s">
        <v>98</v>
      </c>
      <c r="E471" s="19">
        <v>45812</v>
      </c>
      <c r="F471" s="2"/>
      <c r="G471" t="s">
        <v>99</v>
      </c>
      <c r="H471" t="s">
        <v>81</v>
      </c>
      <c r="I471" t="s">
        <v>80</v>
      </c>
      <c r="K471" t="s">
        <v>79</v>
      </c>
      <c r="L471">
        <v>1</v>
      </c>
      <c r="M471">
        <f t="shared" si="18"/>
        <v>0.78539816339744828</v>
      </c>
    </row>
    <row r="472" spans="1:15" x14ac:dyDescent="0.45">
      <c r="A472" t="s">
        <v>100</v>
      </c>
      <c r="C472" t="s">
        <v>101</v>
      </c>
      <c r="E472" s="19">
        <v>45812</v>
      </c>
      <c r="F472" s="2"/>
      <c r="G472" t="s">
        <v>102</v>
      </c>
      <c r="H472" t="s">
        <v>75</v>
      </c>
      <c r="I472" t="s">
        <v>76</v>
      </c>
      <c r="K472" t="s">
        <v>83</v>
      </c>
      <c r="M472" t="str">
        <f t="shared" si="18"/>
        <v/>
      </c>
    </row>
    <row r="473" spans="1:15" x14ac:dyDescent="0.45">
      <c r="A473" t="s">
        <v>100</v>
      </c>
      <c r="C473" t="s">
        <v>101</v>
      </c>
      <c r="E473" s="19">
        <v>45812</v>
      </c>
      <c r="F473" s="2"/>
      <c r="G473" t="s">
        <v>102</v>
      </c>
      <c r="H473" t="s">
        <v>75</v>
      </c>
      <c r="I473" t="s">
        <v>78</v>
      </c>
      <c r="K473" t="s">
        <v>77</v>
      </c>
      <c r="M473" t="str">
        <f t="shared" si="18"/>
        <v/>
      </c>
      <c r="O473">
        <v>1</v>
      </c>
    </row>
    <row r="474" spans="1:15" x14ac:dyDescent="0.45">
      <c r="A474" t="s">
        <v>100</v>
      </c>
      <c r="C474" t="s">
        <v>101</v>
      </c>
      <c r="E474" s="19">
        <v>45812</v>
      </c>
      <c r="F474" s="2"/>
      <c r="G474" t="s">
        <v>102</v>
      </c>
      <c r="H474" t="s">
        <v>75</v>
      </c>
      <c r="I474" t="s">
        <v>80</v>
      </c>
      <c r="K474" t="s">
        <v>77</v>
      </c>
      <c r="L474">
        <v>0.5</v>
      </c>
      <c r="M474">
        <f t="shared" si="18"/>
        <v>0.1308996938995747</v>
      </c>
    </row>
    <row r="475" spans="1:15" x14ac:dyDescent="0.45">
      <c r="A475" t="s">
        <v>100</v>
      </c>
      <c r="C475" t="s">
        <v>101</v>
      </c>
      <c r="E475" s="19">
        <v>45812</v>
      </c>
      <c r="F475" s="2"/>
      <c r="G475" t="s">
        <v>102</v>
      </c>
      <c r="H475" t="s">
        <v>75</v>
      </c>
      <c r="I475" t="s">
        <v>80</v>
      </c>
      <c r="K475" t="s">
        <v>79</v>
      </c>
      <c r="L475">
        <v>0.4</v>
      </c>
      <c r="M475">
        <f t="shared" si="18"/>
        <v>0.12566370614359174</v>
      </c>
    </row>
    <row r="476" spans="1:15" x14ac:dyDescent="0.45">
      <c r="A476" t="s">
        <v>100</v>
      </c>
      <c r="C476" t="s">
        <v>101</v>
      </c>
      <c r="E476" s="19">
        <v>45812</v>
      </c>
      <c r="F476" s="2"/>
      <c r="G476" t="s">
        <v>102</v>
      </c>
      <c r="H476" t="s">
        <v>81</v>
      </c>
      <c r="I476" t="s">
        <v>76</v>
      </c>
      <c r="K476" t="s">
        <v>77</v>
      </c>
      <c r="L476">
        <v>0.5</v>
      </c>
      <c r="M476">
        <f t="shared" si="18"/>
        <v>0.1308996938995747</v>
      </c>
    </row>
    <row r="477" spans="1:15" x14ac:dyDescent="0.45">
      <c r="A477" t="s">
        <v>100</v>
      </c>
      <c r="C477" t="s">
        <v>101</v>
      </c>
      <c r="E477" s="19">
        <v>45812</v>
      </c>
      <c r="F477" s="2"/>
      <c r="G477" t="s">
        <v>102</v>
      </c>
      <c r="H477" t="s">
        <v>81</v>
      </c>
      <c r="I477" t="s">
        <v>78</v>
      </c>
      <c r="M477" t="str">
        <f t="shared" si="18"/>
        <v/>
      </c>
      <c r="O477">
        <v>1</v>
      </c>
    </row>
    <row r="478" spans="1:15" x14ac:dyDescent="0.45">
      <c r="A478" t="s">
        <v>100</v>
      </c>
      <c r="C478" t="s">
        <v>101</v>
      </c>
      <c r="E478" s="19">
        <v>45812</v>
      </c>
      <c r="F478" s="2"/>
      <c r="G478" t="s">
        <v>102</v>
      </c>
      <c r="H478" t="s">
        <v>81</v>
      </c>
      <c r="I478" t="s">
        <v>80</v>
      </c>
      <c r="K478" t="s">
        <v>77</v>
      </c>
      <c r="L478">
        <v>1</v>
      </c>
      <c r="M478">
        <f t="shared" si="18"/>
        <v>0.52359877559829882</v>
      </c>
    </row>
    <row r="479" spans="1:15" x14ac:dyDescent="0.45">
      <c r="A479" t="s">
        <v>100</v>
      </c>
      <c r="C479" t="s">
        <v>101</v>
      </c>
      <c r="E479" s="19">
        <v>45812</v>
      </c>
      <c r="F479" s="2"/>
      <c r="G479" t="s">
        <v>102</v>
      </c>
      <c r="H479" t="s">
        <v>81</v>
      </c>
      <c r="I479" t="s">
        <v>80</v>
      </c>
      <c r="K479" t="s">
        <v>79</v>
      </c>
      <c r="L479">
        <v>0.4</v>
      </c>
      <c r="M479">
        <f t="shared" si="18"/>
        <v>0.12566370614359174</v>
      </c>
    </row>
    <row r="480" spans="1:15" x14ac:dyDescent="0.45">
      <c r="B480" t="s">
        <v>103</v>
      </c>
      <c r="C480" t="str">
        <f>"YO" &amp; TEXT(D480, "00")</f>
        <v>YO15</v>
      </c>
      <c r="D480">
        <v>15</v>
      </c>
      <c r="E480" s="19">
        <v>45812</v>
      </c>
      <c r="K480" t="s">
        <v>79</v>
      </c>
      <c r="L480">
        <v>1</v>
      </c>
      <c r="M480">
        <f t="shared" si="18"/>
        <v>0.78539816339744828</v>
      </c>
    </row>
    <row r="481" spans="2:13" x14ac:dyDescent="0.45">
      <c r="B481" t="s">
        <v>103</v>
      </c>
      <c r="C481" t="str">
        <f t="shared" ref="C481:C544" si="19">"YO" &amp; TEXT(D481, "00")</f>
        <v>YO15</v>
      </c>
      <c r="D481">
        <v>15</v>
      </c>
      <c r="E481" s="19">
        <v>45812</v>
      </c>
      <c r="K481" t="s">
        <v>79</v>
      </c>
      <c r="L481">
        <v>0.8</v>
      </c>
      <c r="M481">
        <f t="shared" si="18"/>
        <v>0.50265482457436694</v>
      </c>
    </row>
    <row r="482" spans="2:13" x14ac:dyDescent="0.45">
      <c r="B482" t="s">
        <v>103</v>
      </c>
      <c r="C482" t="str">
        <f t="shared" si="19"/>
        <v>YO15</v>
      </c>
      <c r="D482">
        <v>15</v>
      </c>
      <c r="E482" s="19">
        <v>45812</v>
      </c>
      <c r="K482" t="s">
        <v>79</v>
      </c>
      <c r="L482">
        <v>0.3</v>
      </c>
      <c r="M482">
        <f t="shared" si="18"/>
        <v>7.0685834705770348E-2</v>
      </c>
    </row>
    <row r="483" spans="2:13" x14ac:dyDescent="0.45">
      <c r="B483" t="s">
        <v>103</v>
      </c>
      <c r="C483" t="str">
        <f t="shared" si="19"/>
        <v>YO09</v>
      </c>
      <c r="D483">
        <v>9</v>
      </c>
      <c r="E483" s="19">
        <v>45812</v>
      </c>
      <c r="K483" t="s">
        <v>79</v>
      </c>
      <c r="L483">
        <v>0.3</v>
      </c>
      <c r="M483">
        <f t="shared" si="18"/>
        <v>7.0685834705770348E-2</v>
      </c>
    </row>
    <row r="484" spans="2:13" x14ac:dyDescent="0.45">
      <c r="B484" t="s">
        <v>103</v>
      </c>
      <c r="C484" t="str">
        <f t="shared" si="19"/>
        <v>YO21</v>
      </c>
      <c r="D484">
        <v>21</v>
      </c>
      <c r="E484" s="19">
        <v>45812</v>
      </c>
      <c r="K484" t="s">
        <v>79</v>
      </c>
      <c r="L484">
        <v>1.6</v>
      </c>
      <c r="M484">
        <f t="shared" si="18"/>
        <v>2.0106192982974678</v>
      </c>
    </row>
    <row r="485" spans="2:13" x14ac:dyDescent="0.45">
      <c r="B485" t="s">
        <v>103</v>
      </c>
      <c r="C485" t="str">
        <f t="shared" si="19"/>
        <v>YO21</v>
      </c>
      <c r="D485">
        <v>21</v>
      </c>
      <c r="E485" s="19">
        <v>45812</v>
      </c>
      <c r="K485" t="s">
        <v>79</v>
      </c>
      <c r="L485">
        <v>1.4</v>
      </c>
      <c r="M485">
        <f t="shared" si="18"/>
        <v>1.5393804002589984</v>
      </c>
    </row>
    <row r="486" spans="2:13" x14ac:dyDescent="0.45">
      <c r="B486" t="s">
        <v>103</v>
      </c>
      <c r="C486" t="str">
        <f t="shared" si="19"/>
        <v>YO04</v>
      </c>
      <c r="D486">
        <v>4</v>
      </c>
      <c r="E486" s="19">
        <v>45812</v>
      </c>
      <c r="F486">
        <v>26</v>
      </c>
      <c r="K486" t="s">
        <v>79</v>
      </c>
      <c r="L486">
        <v>1.6</v>
      </c>
      <c r="M486">
        <f t="shared" si="18"/>
        <v>2.0106192982974678</v>
      </c>
    </row>
    <row r="487" spans="2:13" x14ac:dyDescent="0.45">
      <c r="B487" t="s">
        <v>103</v>
      </c>
      <c r="C487" t="str">
        <f t="shared" si="19"/>
        <v>YO18</v>
      </c>
      <c r="D487">
        <v>18</v>
      </c>
      <c r="E487" s="19">
        <v>45812</v>
      </c>
      <c r="F487">
        <v>52</v>
      </c>
      <c r="G487" t="s">
        <v>37</v>
      </c>
      <c r="M487" t="str">
        <f t="shared" si="18"/>
        <v/>
      </c>
    </row>
    <row r="488" spans="2:13" x14ac:dyDescent="0.45">
      <c r="B488" t="s">
        <v>103</v>
      </c>
      <c r="C488" t="str">
        <f t="shared" si="19"/>
        <v>YO05</v>
      </c>
      <c r="D488">
        <v>5</v>
      </c>
      <c r="E488" s="19">
        <v>45812</v>
      </c>
      <c r="F488">
        <v>65</v>
      </c>
      <c r="J488">
        <v>1</v>
      </c>
      <c r="K488" t="s">
        <v>79</v>
      </c>
      <c r="L488">
        <v>1</v>
      </c>
      <c r="M488">
        <f t="shared" si="18"/>
        <v>0.78539816339744828</v>
      </c>
    </row>
    <row r="489" spans="2:13" x14ac:dyDescent="0.45">
      <c r="B489" t="s">
        <v>103</v>
      </c>
      <c r="C489" t="str">
        <f t="shared" si="19"/>
        <v>YO05</v>
      </c>
      <c r="D489">
        <v>5</v>
      </c>
      <c r="E489" s="19">
        <v>45812</v>
      </c>
      <c r="J489">
        <v>2</v>
      </c>
      <c r="K489" t="s">
        <v>79</v>
      </c>
      <c r="L489">
        <v>0.6</v>
      </c>
      <c r="M489">
        <f t="shared" si="18"/>
        <v>0.28274333882308139</v>
      </c>
    </row>
    <row r="490" spans="2:13" x14ac:dyDescent="0.45">
      <c r="B490" t="s">
        <v>103</v>
      </c>
      <c r="C490" t="str">
        <f t="shared" si="19"/>
        <v>YO05</v>
      </c>
      <c r="D490">
        <v>5</v>
      </c>
      <c r="E490" s="19">
        <v>45812</v>
      </c>
      <c r="J490">
        <v>3</v>
      </c>
      <c r="K490" t="s">
        <v>79</v>
      </c>
      <c r="L490">
        <v>0.9</v>
      </c>
      <c r="M490">
        <f t="shared" si="18"/>
        <v>0.63617251235193317</v>
      </c>
    </row>
    <row r="491" spans="2:13" x14ac:dyDescent="0.45">
      <c r="B491" t="s">
        <v>103</v>
      </c>
      <c r="C491" t="str">
        <f>"YO" &amp; TEXT(D491, "00")</f>
        <v>YO05</v>
      </c>
      <c r="D491">
        <v>5</v>
      </c>
      <c r="E491" s="19">
        <v>45812</v>
      </c>
      <c r="G491" t="s">
        <v>37</v>
      </c>
      <c r="J491">
        <v>4</v>
      </c>
      <c r="M491" t="str">
        <f t="shared" si="18"/>
        <v/>
      </c>
    </row>
    <row r="492" spans="2:13" x14ac:dyDescent="0.45">
      <c r="B492" t="s">
        <v>103</v>
      </c>
      <c r="C492" t="str">
        <f t="shared" si="19"/>
        <v>YO11</v>
      </c>
      <c r="D492">
        <v>11</v>
      </c>
      <c r="E492" s="19">
        <v>45812</v>
      </c>
      <c r="F492">
        <v>66</v>
      </c>
      <c r="J492">
        <v>1</v>
      </c>
      <c r="K492" t="s">
        <v>77</v>
      </c>
      <c r="L492">
        <v>0.9</v>
      </c>
      <c r="M492">
        <f t="shared" si="18"/>
        <v>0.42411500823462206</v>
      </c>
    </row>
    <row r="493" spans="2:13" x14ac:dyDescent="0.45">
      <c r="B493" t="s">
        <v>103</v>
      </c>
      <c r="C493" t="str">
        <f t="shared" si="19"/>
        <v>YO11</v>
      </c>
      <c r="D493">
        <v>11</v>
      </c>
      <c r="E493" s="19">
        <v>45812</v>
      </c>
      <c r="F493">
        <v>66</v>
      </c>
      <c r="J493">
        <v>1</v>
      </c>
      <c r="K493" t="s">
        <v>79</v>
      </c>
      <c r="L493">
        <v>0.2</v>
      </c>
      <c r="M493">
        <f t="shared" si="18"/>
        <v>3.1415926535897934E-2</v>
      </c>
    </row>
    <row r="494" spans="2:13" x14ac:dyDescent="0.45">
      <c r="B494" t="s">
        <v>103</v>
      </c>
      <c r="C494" t="str">
        <f t="shared" si="19"/>
        <v>YO11</v>
      </c>
      <c r="D494">
        <v>11</v>
      </c>
      <c r="E494" s="19">
        <v>45812</v>
      </c>
      <c r="F494">
        <v>66</v>
      </c>
      <c r="J494">
        <v>1</v>
      </c>
      <c r="K494" t="s">
        <v>79</v>
      </c>
      <c r="L494">
        <v>0.1</v>
      </c>
      <c r="M494">
        <f t="shared" si="18"/>
        <v>7.8539816339744835E-3</v>
      </c>
    </row>
    <row r="495" spans="2:13" x14ac:dyDescent="0.45">
      <c r="B495" t="s">
        <v>103</v>
      </c>
      <c r="C495" t="str">
        <f t="shared" si="19"/>
        <v>YO11</v>
      </c>
      <c r="D495">
        <v>11</v>
      </c>
      <c r="E495" s="19">
        <v>45812</v>
      </c>
      <c r="F495">
        <v>66</v>
      </c>
      <c r="J495">
        <v>1</v>
      </c>
      <c r="K495" t="s">
        <v>79</v>
      </c>
      <c r="L495">
        <v>0.1</v>
      </c>
      <c r="M495">
        <f t="shared" si="18"/>
        <v>7.8539816339744835E-3</v>
      </c>
    </row>
    <row r="496" spans="2:13" x14ac:dyDescent="0.45">
      <c r="B496" t="s">
        <v>103</v>
      </c>
      <c r="C496" t="str">
        <f t="shared" si="19"/>
        <v>YO11</v>
      </c>
      <c r="D496">
        <v>11</v>
      </c>
      <c r="E496" s="19">
        <v>45812</v>
      </c>
      <c r="F496">
        <v>66</v>
      </c>
      <c r="J496">
        <v>1</v>
      </c>
      <c r="K496" t="s">
        <v>79</v>
      </c>
      <c r="L496">
        <v>0.1</v>
      </c>
      <c r="M496">
        <f t="shared" si="18"/>
        <v>7.8539816339744835E-3</v>
      </c>
    </row>
    <row r="497" spans="2:14" x14ac:dyDescent="0.45">
      <c r="B497" t="s">
        <v>103</v>
      </c>
      <c r="C497" t="str">
        <f t="shared" si="19"/>
        <v>YO11</v>
      </c>
      <c r="D497">
        <v>11</v>
      </c>
      <c r="E497" s="19">
        <v>45812</v>
      </c>
      <c r="F497">
        <v>66</v>
      </c>
      <c r="J497">
        <v>1</v>
      </c>
      <c r="K497" t="s">
        <v>77</v>
      </c>
      <c r="L497">
        <v>0.8</v>
      </c>
      <c r="M497">
        <f t="shared" si="18"/>
        <v>0.33510321638291124</v>
      </c>
    </row>
    <row r="498" spans="2:14" x14ac:dyDescent="0.45">
      <c r="B498" t="s">
        <v>103</v>
      </c>
      <c r="C498" t="str">
        <f t="shared" si="19"/>
        <v>YO11</v>
      </c>
      <c r="D498">
        <v>11</v>
      </c>
      <c r="E498" s="19">
        <v>45812</v>
      </c>
      <c r="F498">
        <v>66</v>
      </c>
      <c r="J498">
        <v>1</v>
      </c>
      <c r="K498" t="s">
        <v>79</v>
      </c>
      <c r="L498">
        <v>0.2</v>
      </c>
      <c r="M498">
        <f t="shared" si="18"/>
        <v>3.1415926535897934E-2</v>
      </c>
    </row>
    <row r="499" spans="2:14" x14ac:dyDescent="0.45">
      <c r="B499" t="s">
        <v>103</v>
      </c>
      <c r="C499" t="str">
        <f t="shared" si="19"/>
        <v>YO11</v>
      </c>
      <c r="D499">
        <v>11</v>
      </c>
      <c r="E499" s="19">
        <v>45812</v>
      </c>
      <c r="F499">
        <v>66</v>
      </c>
      <c r="J499">
        <v>1</v>
      </c>
      <c r="K499" t="s">
        <v>79</v>
      </c>
      <c r="L499">
        <v>0.3</v>
      </c>
      <c r="M499">
        <f t="shared" si="18"/>
        <v>7.0685834705770348E-2</v>
      </c>
    </row>
    <row r="500" spans="2:14" x14ac:dyDescent="0.45">
      <c r="B500" t="s">
        <v>103</v>
      </c>
      <c r="C500" t="str">
        <f t="shared" si="19"/>
        <v>YO11</v>
      </c>
      <c r="D500">
        <v>11</v>
      </c>
      <c r="E500" s="19">
        <v>45812</v>
      </c>
      <c r="F500">
        <v>66</v>
      </c>
      <c r="J500">
        <v>1</v>
      </c>
      <c r="K500" t="s">
        <v>79</v>
      </c>
      <c r="L500">
        <v>0.2</v>
      </c>
      <c r="M500">
        <f t="shared" si="18"/>
        <v>3.1415926535897934E-2</v>
      </c>
    </row>
    <row r="501" spans="2:14" x14ac:dyDescent="0.45">
      <c r="B501" t="s">
        <v>103</v>
      </c>
      <c r="C501" t="str">
        <f t="shared" si="19"/>
        <v>YO11</v>
      </c>
      <c r="D501">
        <v>11</v>
      </c>
      <c r="E501" s="19">
        <v>45812</v>
      </c>
      <c r="J501">
        <v>2</v>
      </c>
      <c r="K501" t="s">
        <v>79</v>
      </c>
      <c r="L501">
        <v>1.3</v>
      </c>
      <c r="M501">
        <f t="shared" si="18"/>
        <v>1.3273228961416876</v>
      </c>
    </row>
    <row r="502" spans="2:14" x14ac:dyDescent="0.45">
      <c r="B502" t="s">
        <v>103</v>
      </c>
      <c r="C502" t="str">
        <f t="shared" si="19"/>
        <v>YO11</v>
      </c>
      <c r="D502">
        <v>11</v>
      </c>
      <c r="E502" s="19">
        <v>45812</v>
      </c>
      <c r="J502">
        <v>2</v>
      </c>
      <c r="K502" t="s">
        <v>79</v>
      </c>
      <c r="L502">
        <v>0.1</v>
      </c>
      <c r="M502">
        <f t="shared" si="18"/>
        <v>7.8539816339744835E-3</v>
      </c>
    </row>
    <row r="503" spans="2:14" x14ac:dyDescent="0.45">
      <c r="B503" t="s">
        <v>103</v>
      </c>
      <c r="C503" t="str">
        <f t="shared" si="19"/>
        <v>YO11</v>
      </c>
      <c r="D503">
        <v>11</v>
      </c>
      <c r="E503" s="19">
        <v>45812</v>
      </c>
      <c r="J503">
        <v>2</v>
      </c>
      <c r="K503" t="s">
        <v>79</v>
      </c>
      <c r="L503">
        <v>0.1</v>
      </c>
      <c r="M503">
        <f t="shared" si="18"/>
        <v>7.8539816339744835E-3</v>
      </c>
    </row>
    <row r="504" spans="2:14" x14ac:dyDescent="0.45">
      <c r="B504" t="s">
        <v>103</v>
      </c>
      <c r="C504" t="str">
        <f t="shared" si="19"/>
        <v>YO11</v>
      </c>
      <c r="D504">
        <v>11</v>
      </c>
      <c r="E504" s="19">
        <v>45812</v>
      </c>
      <c r="J504">
        <v>2</v>
      </c>
      <c r="K504" t="s">
        <v>77</v>
      </c>
      <c r="L504">
        <v>1</v>
      </c>
      <c r="M504">
        <f t="shared" si="18"/>
        <v>0.52359877559829882</v>
      </c>
    </row>
    <row r="505" spans="2:14" x14ac:dyDescent="0.45">
      <c r="B505" t="s">
        <v>103</v>
      </c>
      <c r="C505" t="str">
        <f t="shared" si="19"/>
        <v>YO11</v>
      </c>
      <c r="D505">
        <v>11</v>
      </c>
      <c r="E505" s="19">
        <v>45812</v>
      </c>
      <c r="J505">
        <v>3</v>
      </c>
      <c r="K505" t="s">
        <v>77</v>
      </c>
      <c r="L505">
        <v>2</v>
      </c>
      <c r="M505">
        <f t="shared" si="18"/>
        <v>2.0943951023931953</v>
      </c>
      <c r="N505">
        <v>9</v>
      </c>
    </row>
    <row r="506" spans="2:14" x14ac:dyDescent="0.45">
      <c r="B506" t="s">
        <v>103</v>
      </c>
      <c r="C506" t="str">
        <f t="shared" si="19"/>
        <v>YO11</v>
      </c>
      <c r="D506">
        <v>11</v>
      </c>
      <c r="E506" s="19">
        <v>45812</v>
      </c>
      <c r="J506">
        <v>2</v>
      </c>
      <c r="K506" t="s">
        <v>77</v>
      </c>
      <c r="L506">
        <v>0.9</v>
      </c>
      <c r="M506">
        <f t="shared" si="18"/>
        <v>0.42411500823462206</v>
      </c>
    </row>
    <row r="507" spans="2:14" x14ac:dyDescent="0.45">
      <c r="B507" t="s">
        <v>103</v>
      </c>
      <c r="C507" t="str">
        <f t="shared" si="19"/>
        <v>YO11</v>
      </c>
      <c r="D507">
        <v>11</v>
      </c>
      <c r="E507" s="19">
        <v>45812</v>
      </c>
      <c r="J507">
        <v>2</v>
      </c>
      <c r="K507" t="s">
        <v>77</v>
      </c>
      <c r="L507">
        <v>0.4</v>
      </c>
      <c r="M507">
        <f t="shared" si="18"/>
        <v>8.377580409572781E-2</v>
      </c>
    </row>
    <row r="508" spans="2:14" x14ac:dyDescent="0.45">
      <c r="B508" t="s">
        <v>103</v>
      </c>
      <c r="C508" t="str">
        <f t="shared" si="19"/>
        <v>YO11</v>
      </c>
      <c r="D508">
        <v>11</v>
      </c>
      <c r="E508" s="19">
        <v>45812</v>
      </c>
      <c r="J508">
        <v>4</v>
      </c>
      <c r="M508" t="str">
        <f t="shared" si="18"/>
        <v/>
      </c>
    </row>
    <row r="509" spans="2:14" x14ac:dyDescent="0.45">
      <c r="B509" t="s">
        <v>103</v>
      </c>
      <c r="C509" t="str">
        <f t="shared" si="19"/>
        <v>YO22</v>
      </c>
      <c r="D509">
        <v>22</v>
      </c>
      <c r="E509" s="19">
        <v>45812</v>
      </c>
      <c r="F509">
        <v>50</v>
      </c>
      <c r="J509">
        <v>1</v>
      </c>
      <c r="M509" t="str">
        <f t="shared" si="18"/>
        <v/>
      </c>
    </row>
    <row r="510" spans="2:14" x14ac:dyDescent="0.45">
      <c r="B510" t="s">
        <v>103</v>
      </c>
      <c r="C510" t="str">
        <f t="shared" si="19"/>
        <v>YO22</v>
      </c>
      <c r="D510">
        <v>22</v>
      </c>
      <c r="E510" s="19">
        <v>45812</v>
      </c>
      <c r="J510">
        <v>2</v>
      </c>
      <c r="K510" t="s">
        <v>79</v>
      </c>
      <c r="L510">
        <v>0.2</v>
      </c>
      <c r="M510">
        <f t="shared" si="18"/>
        <v>3.1415926535897934E-2</v>
      </c>
    </row>
    <row r="511" spans="2:14" x14ac:dyDescent="0.45">
      <c r="B511" t="s">
        <v>103</v>
      </c>
      <c r="C511" t="str">
        <f t="shared" si="19"/>
        <v>YO22</v>
      </c>
      <c r="D511">
        <v>22</v>
      </c>
      <c r="E511" s="19">
        <v>45812</v>
      </c>
      <c r="J511">
        <v>2</v>
      </c>
      <c r="K511" t="s">
        <v>79</v>
      </c>
      <c r="L511">
        <v>0.2</v>
      </c>
      <c r="M511">
        <f t="shared" si="18"/>
        <v>3.1415926535897934E-2</v>
      </c>
    </row>
    <row r="512" spans="2:14" x14ac:dyDescent="0.45">
      <c r="B512" t="s">
        <v>103</v>
      </c>
      <c r="C512" t="str">
        <f t="shared" si="19"/>
        <v>YO22</v>
      </c>
      <c r="D512">
        <v>22</v>
      </c>
      <c r="E512" s="19">
        <v>45812</v>
      </c>
      <c r="J512">
        <v>3</v>
      </c>
      <c r="K512" t="s">
        <v>79</v>
      </c>
      <c r="L512">
        <v>0.5</v>
      </c>
      <c r="M512">
        <f t="shared" si="18"/>
        <v>0.19634954084936207</v>
      </c>
    </row>
    <row r="513" spans="2:15" x14ac:dyDescent="0.45">
      <c r="B513" t="s">
        <v>103</v>
      </c>
      <c r="C513" t="str">
        <f t="shared" si="19"/>
        <v>YO22</v>
      </c>
      <c r="D513">
        <v>22</v>
      </c>
      <c r="E513" s="19">
        <v>45812</v>
      </c>
      <c r="J513">
        <v>3</v>
      </c>
      <c r="K513" t="s">
        <v>79</v>
      </c>
      <c r="L513">
        <v>0.5</v>
      </c>
      <c r="M513">
        <f t="shared" si="18"/>
        <v>0.19634954084936207</v>
      </c>
    </row>
    <row r="514" spans="2:15" x14ac:dyDescent="0.45">
      <c r="B514" t="s">
        <v>103</v>
      </c>
      <c r="C514" t="str">
        <f t="shared" si="19"/>
        <v>YO22</v>
      </c>
      <c r="D514">
        <v>22</v>
      </c>
      <c r="E514" s="19">
        <v>45812</v>
      </c>
      <c r="J514">
        <v>4</v>
      </c>
      <c r="K514" t="s">
        <v>79</v>
      </c>
      <c r="L514">
        <v>0.3</v>
      </c>
      <c r="M514">
        <f t="shared" si="18"/>
        <v>7.0685834705770348E-2</v>
      </c>
    </row>
    <row r="515" spans="2:15" x14ac:dyDescent="0.45">
      <c r="B515" t="s">
        <v>103</v>
      </c>
      <c r="C515" t="str">
        <f t="shared" si="19"/>
        <v>YO22</v>
      </c>
      <c r="D515">
        <v>22</v>
      </c>
      <c r="E515" s="19">
        <v>45812</v>
      </c>
      <c r="J515">
        <v>6</v>
      </c>
      <c r="K515" t="s">
        <v>79</v>
      </c>
      <c r="L515">
        <v>0.3</v>
      </c>
      <c r="M515">
        <f t="shared" si="18"/>
        <v>7.0685834705770348E-2</v>
      </c>
    </row>
    <row r="516" spans="2:15" x14ac:dyDescent="0.45">
      <c r="B516" t="s">
        <v>103</v>
      </c>
      <c r="C516" t="str">
        <f t="shared" si="19"/>
        <v>YO22</v>
      </c>
      <c r="D516">
        <v>22</v>
      </c>
      <c r="E516" s="19">
        <v>45812</v>
      </c>
      <c r="J516">
        <v>6</v>
      </c>
      <c r="K516" t="s">
        <v>79</v>
      </c>
      <c r="L516">
        <v>0.3</v>
      </c>
      <c r="M516">
        <f t="shared" si="18"/>
        <v>7.0685834705770348E-2</v>
      </c>
    </row>
    <row r="517" spans="2:15" x14ac:dyDescent="0.45">
      <c r="B517" t="s">
        <v>103</v>
      </c>
      <c r="C517" t="str">
        <f t="shared" si="19"/>
        <v>YO22</v>
      </c>
      <c r="D517">
        <v>22</v>
      </c>
      <c r="E517" s="19">
        <v>45812</v>
      </c>
      <c r="J517">
        <v>7</v>
      </c>
      <c r="M517" t="str">
        <f t="shared" si="18"/>
        <v/>
      </c>
      <c r="O517">
        <v>2</v>
      </c>
    </row>
    <row r="518" spans="2:15" x14ac:dyDescent="0.45">
      <c r="B518" t="s">
        <v>103</v>
      </c>
      <c r="C518" t="str">
        <f t="shared" si="19"/>
        <v>YO22</v>
      </c>
      <c r="D518">
        <v>22</v>
      </c>
      <c r="E518" s="19">
        <v>45812</v>
      </c>
      <c r="J518">
        <v>8</v>
      </c>
      <c r="K518" t="s">
        <v>79</v>
      </c>
      <c r="L518">
        <v>1</v>
      </c>
      <c r="M518">
        <f t="shared" si="18"/>
        <v>0.78539816339744828</v>
      </c>
    </row>
    <row r="519" spans="2:15" x14ac:dyDescent="0.45">
      <c r="B519" t="s">
        <v>103</v>
      </c>
      <c r="C519" t="str">
        <f t="shared" si="19"/>
        <v>YO22</v>
      </c>
      <c r="D519">
        <v>22</v>
      </c>
      <c r="E519" s="19">
        <v>45812</v>
      </c>
      <c r="J519">
        <v>8</v>
      </c>
      <c r="K519" t="s">
        <v>79</v>
      </c>
      <c r="L519">
        <v>1.2</v>
      </c>
      <c r="M519">
        <f t="shared" si="18"/>
        <v>1.1309733552923256</v>
      </c>
    </row>
    <row r="520" spans="2:15" x14ac:dyDescent="0.45">
      <c r="B520" t="s">
        <v>103</v>
      </c>
      <c r="C520" t="str">
        <f t="shared" si="19"/>
        <v>YO22</v>
      </c>
      <c r="D520">
        <v>22</v>
      </c>
      <c r="E520" s="19">
        <v>45812</v>
      </c>
      <c r="J520">
        <v>8</v>
      </c>
      <c r="K520" t="s">
        <v>79</v>
      </c>
      <c r="L520">
        <v>1</v>
      </c>
      <c r="M520">
        <f t="shared" si="18"/>
        <v>0.78539816339744828</v>
      </c>
    </row>
    <row r="521" spans="2:15" x14ac:dyDescent="0.45">
      <c r="B521" t="s">
        <v>103</v>
      </c>
      <c r="C521" t="str">
        <f t="shared" si="19"/>
        <v>YO14</v>
      </c>
      <c r="D521">
        <v>14</v>
      </c>
      <c r="E521" s="19">
        <v>45812</v>
      </c>
      <c r="F521">
        <v>30</v>
      </c>
      <c r="J521">
        <v>1</v>
      </c>
      <c r="K521" t="s">
        <v>79</v>
      </c>
      <c r="L521">
        <v>0.6</v>
      </c>
      <c r="M521">
        <f t="shared" si="18"/>
        <v>0.28274333882308139</v>
      </c>
      <c r="N521">
        <v>1</v>
      </c>
      <c r="O521">
        <v>2</v>
      </c>
    </row>
    <row r="522" spans="2:15" x14ac:dyDescent="0.45">
      <c r="B522" t="s">
        <v>103</v>
      </c>
      <c r="C522" t="str">
        <f t="shared" si="19"/>
        <v>YO20</v>
      </c>
      <c r="D522">
        <v>20</v>
      </c>
      <c r="E522" s="19">
        <v>45812</v>
      </c>
      <c r="F522">
        <v>37</v>
      </c>
      <c r="J522">
        <v>1</v>
      </c>
      <c r="K522" t="s">
        <v>77</v>
      </c>
      <c r="L522">
        <v>0.4</v>
      </c>
      <c r="M522">
        <f t="shared" si="18"/>
        <v>8.377580409572781E-2</v>
      </c>
      <c r="N522">
        <v>1</v>
      </c>
      <c r="O522">
        <v>2</v>
      </c>
    </row>
    <row r="523" spans="2:15" x14ac:dyDescent="0.45">
      <c r="B523" t="s">
        <v>103</v>
      </c>
      <c r="C523" t="str">
        <f t="shared" si="19"/>
        <v>YO16</v>
      </c>
      <c r="D523">
        <v>16</v>
      </c>
      <c r="E523" s="19">
        <v>45812</v>
      </c>
      <c r="F523">
        <v>50</v>
      </c>
      <c r="J523">
        <v>1</v>
      </c>
      <c r="K523" t="s">
        <v>79</v>
      </c>
      <c r="L523">
        <v>1.2</v>
      </c>
      <c r="M523">
        <f t="shared" si="18"/>
        <v>1.1309733552923256</v>
      </c>
      <c r="N523">
        <v>1</v>
      </c>
      <c r="O523">
        <v>2</v>
      </c>
    </row>
    <row r="524" spans="2:15" x14ac:dyDescent="0.45">
      <c r="B524" t="s">
        <v>103</v>
      </c>
      <c r="C524" t="str">
        <f t="shared" si="19"/>
        <v>YO16</v>
      </c>
      <c r="D524">
        <v>16</v>
      </c>
      <c r="E524" s="19">
        <v>45812</v>
      </c>
      <c r="F524">
        <v>50</v>
      </c>
      <c r="J524">
        <v>1</v>
      </c>
      <c r="K524" t="s">
        <v>79</v>
      </c>
      <c r="L524">
        <v>0.8</v>
      </c>
      <c r="M524">
        <f t="shared" si="18"/>
        <v>0.50265482457436694</v>
      </c>
      <c r="N524">
        <v>1</v>
      </c>
      <c r="O524">
        <v>2</v>
      </c>
    </row>
    <row r="525" spans="2:15" x14ac:dyDescent="0.45">
      <c r="B525" t="s">
        <v>103</v>
      </c>
      <c r="C525" t="str">
        <f t="shared" si="19"/>
        <v>YO16</v>
      </c>
      <c r="D525">
        <v>16</v>
      </c>
      <c r="E525" s="19">
        <v>45812</v>
      </c>
      <c r="F525">
        <v>50</v>
      </c>
      <c r="J525">
        <v>1</v>
      </c>
      <c r="K525" t="s">
        <v>77</v>
      </c>
      <c r="L525">
        <v>0.7</v>
      </c>
      <c r="M525">
        <f t="shared" si="18"/>
        <v>0.25656340004316641</v>
      </c>
      <c r="N525">
        <v>0.4</v>
      </c>
    </row>
    <row r="526" spans="2:15" x14ac:dyDescent="0.45">
      <c r="B526" t="s">
        <v>103</v>
      </c>
      <c r="C526" t="str">
        <f t="shared" si="19"/>
        <v>YO16</v>
      </c>
      <c r="D526">
        <v>16</v>
      </c>
      <c r="E526" s="19">
        <v>45812</v>
      </c>
      <c r="J526">
        <v>2</v>
      </c>
      <c r="M526" t="str">
        <f t="shared" si="18"/>
        <v/>
      </c>
    </row>
    <row r="527" spans="2:15" x14ac:dyDescent="0.45">
      <c r="B527" t="s">
        <v>103</v>
      </c>
      <c r="C527" t="str">
        <f t="shared" si="19"/>
        <v>YO08</v>
      </c>
      <c r="D527">
        <v>8</v>
      </c>
      <c r="E527" s="19">
        <v>45812</v>
      </c>
      <c r="F527">
        <v>40</v>
      </c>
      <c r="J527">
        <v>1</v>
      </c>
      <c r="K527" t="s">
        <v>79</v>
      </c>
      <c r="L527">
        <v>0.2</v>
      </c>
      <c r="M527">
        <f t="shared" si="18"/>
        <v>3.1415926535897934E-2</v>
      </c>
      <c r="O527">
        <v>1</v>
      </c>
    </row>
    <row r="528" spans="2:15" x14ac:dyDescent="0.45">
      <c r="B528" t="s">
        <v>103</v>
      </c>
      <c r="C528" t="str">
        <f t="shared" si="19"/>
        <v>YO08</v>
      </c>
      <c r="D528">
        <v>8</v>
      </c>
      <c r="E528" s="19">
        <v>45812</v>
      </c>
      <c r="F528">
        <v>40</v>
      </c>
      <c r="J528">
        <v>1</v>
      </c>
      <c r="K528" t="s">
        <v>77</v>
      </c>
      <c r="L528">
        <v>0.2</v>
      </c>
      <c r="M528">
        <f t="shared" si="18"/>
        <v>2.0943951023931952E-2</v>
      </c>
      <c r="O528">
        <v>1</v>
      </c>
    </row>
    <row r="529" spans="2:15" x14ac:dyDescent="0.45">
      <c r="B529" t="s">
        <v>103</v>
      </c>
      <c r="C529" t="str">
        <f t="shared" si="19"/>
        <v>YO08</v>
      </c>
      <c r="D529">
        <v>8</v>
      </c>
      <c r="E529" s="19">
        <v>45812</v>
      </c>
      <c r="F529">
        <v>40</v>
      </c>
      <c r="J529">
        <v>1</v>
      </c>
      <c r="K529" t="s">
        <v>79</v>
      </c>
      <c r="L529">
        <v>1</v>
      </c>
      <c r="M529">
        <f t="shared" si="18"/>
        <v>0.78539816339744828</v>
      </c>
      <c r="O529">
        <v>1</v>
      </c>
    </row>
    <row r="530" spans="2:15" x14ac:dyDescent="0.45">
      <c r="B530" t="s">
        <v>103</v>
      </c>
      <c r="C530" t="str">
        <f t="shared" si="19"/>
        <v>YO08</v>
      </c>
      <c r="D530">
        <v>8</v>
      </c>
      <c r="E530" s="19">
        <v>45812</v>
      </c>
      <c r="F530">
        <v>40</v>
      </c>
      <c r="J530">
        <v>1</v>
      </c>
      <c r="K530" t="s">
        <v>79</v>
      </c>
      <c r="L530">
        <v>0.2</v>
      </c>
      <c r="M530">
        <f t="shared" ref="M530:M593" si="20">IF(OR(L530="na", L530=""), "", IF(K530="mm", PI()*(L530/2)^2, IF(K530="ep", PI()*(L530/2)*(L530*(2/3)/2), "")))</f>
        <v>3.1415926535897934E-2</v>
      </c>
      <c r="N530">
        <v>5</v>
      </c>
      <c r="O530">
        <v>1</v>
      </c>
    </row>
    <row r="531" spans="2:15" x14ac:dyDescent="0.45">
      <c r="B531" t="s">
        <v>103</v>
      </c>
      <c r="C531" t="str">
        <f t="shared" si="19"/>
        <v>YO08</v>
      </c>
      <c r="D531">
        <v>8</v>
      </c>
      <c r="E531" s="19">
        <v>45812</v>
      </c>
      <c r="F531">
        <v>40</v>
      </c>
      <c r="J531">
        <v>1</v>
      </c>
      <c r="K531" t="s">
        <v>79</v>
      </c>
      <c r="L531">
        <v>0.1</v>
      </c>
      <c r="M531">
        <f t="shared" si="20"/>
        <v>7.8539816339744835E-3</v>
      </c>
    </row>
    <row r="532" spans="2:15" x14ac:dyDescent="0.45">
      <c r="B532" t="s">
        <v>103</v>
      </c>
      <c r="C532" t="str">
        <f t="shared" si="19"/>
        <v>YO08</v>
      </c>
      <c r="D532">
        <v>8</v>
      </c>
      <c r="E532" s="19">
        <v>45812</v>
      </c>
      <c r="J532">
        <v>2</v>
      </c>
      <c r="K532" t="s">
        <v>79</v>
      </c>
      <c r="L532">
        <v>1.8</v>
      </c>
      <c r="M532">
        <f t="shared" si="20"/>
        <v>2.5446900494077327</v>
      </c>
      <c r="O532">
        <v>1</v>
      </c>
    </row>
    <row r="533" spans="2:15" x14ac:dyDescent="0.45">
      <c r="B533" t="s">
        <v>103</v>
      </c>
      <c r="C533" t="str">
        <f t="shared" si="19"/>
        <v>YO08</v>
      </c>
      <c r="D533">
        <v>8</v>
      </c>
      <c r="E533" s="19">
        <v>45812</v>
      </c>
      <c r="J533">
        <v>2</v>
      </c>
      <c r="K533" t="s">
        <v>77</v>
      </c>
      <c r="L533">
        <v>0.6</v>
      </c>
      <c r="M533">
        <f t="shared" si="20"/>
        <v>0.18849555921538758</v>
      </c>
      <c r="O533">
        <v>1</v>
      </c>
    </row>
    <row r="534" spans="2:15" x14ac:dyDescent="0.45">
      <c r="B534" t="s">
        <v>103</v>
      </c>
      <c r="C534" t="str">
        <f t="shared" si="19"/>
        <v>YO12</v>
      </c>
      <c r="D534">
        <v>12</v>
      </c>
      <c r="E534" s="19">
        <v>45812</v>
      </c>
      <c r="F534">
        <v>50</v>
      </c>
      <c r="J534">
        <v>1</v>
      </c>
      <c r="K534" t="s">
        <v>79</v>
      </c>
      <c r="L534">
        <v>0.2</v>
      </c>
      <c r="M534">
        <f t="shared" si="20"/>
        <v>3.1415926535897934E-2</v>
      </c>
    </row>
    <row r="535" spans="2:15" x14ac:dyDescent="0.45">
      <c r="B535" t="s">
        <v>103</v>
      </c>
      <c r="C535" t="str">
        <f t="shared" si="19"/>
        <v>YO12</v>
      </c>
      <c r="D535">
        <v>12</v>
      </c>
      <c r="E535" s="19">
        <v>45812</v>
      </c>
      <c r="F535">
        <v>50</v>
      </c>
      <c r="J535">
        <v>1</v>
      </c>
      <c r="K535" t="s">
        <v>79</v>
      </c>
      <c r="L535">
        <v>0.2</v>
      </c>
      <c r="M535">
        <f t="shared" si="20"/>
        <v>3.1415926535897934E-2</v>
      </c>
    </row>
    <row r="536" spans="2:15" x14ac:dyDescent="0.45">
      <c r="B536" t="s">
        <v>103</v>
      </c>
      <c r="C536" t="str">
        <f t="shared" si="19"/>
        <v>YO12</v>
      </c>
      <c r="D536">
        <v>12</v>
      </c>
      <c r="E536" s="19">
        <v>45812</v>
      </c>
      <c r="J536">
        <v>2</v>
      </c>
      <c r="K536" t="s">
        <v>79</v>
      </c>
      <c r="L536">
        <v>0.1</v>
      </c>
      <c r="M536">
        <f t="shared" si="20"/>
        <v>7.8539816339744835E-3</v>
      </c>
    </row>
    <row r="537" spans="2:15" x14ac:dyDescent="0.45">
      <c r="B537" t="s">
        <v>103</v>
      </c>
      <c r="C537" t="str">
        <f t="shared" si="19"/>
        <v>YO12</v>
      </c>
      <c r="D537">
        <v>12</v>
      </c>
      <c r="E537" s="19">
        <v>45812</v>
      </c>
      <c r="J537">
        <v>2</v>
      </c>
      <c r="K537" t="s">
        <v>79</v>
      </c>
      <c r="L537">
        <v>0.1</v>
      </c>
      <c r="M537">
        <f t="shared" si="20"/>
        <v>7.8539816339744835E-3</v>
      </c>
    </row>
    <row r="538" spans="2:15" x14ac:dyDescent="0.45">
      <c r="B538" t="s">
        <v>103</v>
      </c>
      <c r="C538" t="str">
        <f t="shared" si="19"/>
        <v>YO12</v>
      </c>
      <c r="D538">
        <v>12</v>
      </c>
      <c r="E538" s="19">
        <v>45812</v>
      </c>
      <c r="J538">
        <v>2</v>
      </c>
      <c r="K538" t="s">
        <v>79</v>
      </c>
      <c r="L538">
        <v>0.8</v>
      </c>
      <c r="M538">
        <f t="shared" si="20"/>
        <v>0.50265482457436694</v>
      </c>
    </row>
    <row r="539" spans="2:15" x14ac:dyDescent="0.45">
      <c r="B539" t="s">
        <v>103</v>
      </c>
      <c r="C539" t="str">
        <f t="shared" si="19"/>
        <v>YO06</v>
      </c>
      <c r="D539">
        <v>6</v>
      </c>
      <c r="E539" s="19">
        <v>45812</v>
      </c>
      <c r="F539">
        <v>48</v>
      </c>
      <c r="J539">
        <v>1</v>
      </c>
      <c r="K539" t="s">
        <v>79</v>
      </c>
      <c r="L539">
        <v>0.2</v>
      </c>
      <c r="M539">
        <f t="shared" si="20"/>
        <v>3.1415926535897934E-2</v>
      </c>
      <c r="O539">
        <v>4</v>
      </c>
    </row>
    <row r="540" spans="2:15" x14ac:dyDescent="0.45">
      <c r="B540" t="s">
        <v>103</v>
      </c>
      <c r="C540" t="str">
        <f t="shared" si="19"/>
        <v>YO06</v>
      </c>
      <c r="D540">
        <v>6</v>
      </c>
      <c r="E540" s="19">
        <v>45812</v>
      </c>
      <c r="F540">
        <v>48</v>
      </c>
      <c r="J540">
        <v>1</v>
      </c>
      <c r="K540" t="s">
        <v>79</v>
      </c>
      <c r="L540">
        <v>1.5</v>
      </c>
      <c r="M540">
        <f t="shared" si="20"/>
        <v>1.7671458676442586</v>
      </c>
      <c r="O540">
        <v>4</v>
      </c>
    </row>
    <row r="541" spans="2:15" x14ac:dyDescent="0.45">
      <c r="B541" t="s">
        <v>103</v>
      </c>
      <c r="C541" t="str">
        <f t="shared" si="19"/>
        <v>YO06</v>
      </c>
      <c r="D541">
        <v>6</v>
      </c>
      <c r="E541" s="19">
        <v>45812</v>
      </c>
      <c r="J541">
        <v>2</v>
      </c>
      <c r="K541" t="s">
        <v>79</v>
      </c>
      <c r="L541">
        <v>0.2</v>
      </c>
      <c r="M541">
        <f t="shared" si="20"/>
        <v>3.1415926535897934E-2</v>
      </c>
      <c r="N541">
        <v>1</v>
      </c>
    </row>
    <row r="542" spans="2:15" x14ac:dyDescent="0.45">
      <c r="B542" t="s">
        <v>103</v>
      </c>
      <c r="C542" t="str">
        <f t="shared" si="19"/>
        <v>YO06</v>
      </c>
      <c r="D542">
        <v>6</v>
      </c>
      <c r="E542" s="19">
        <v>45812</v>
      </c>
      <c r="J542">
        <v>2</v>
      </c>
      <c r="K542" t="s">
        <v>79</v>
      </c>
      <c r="L542">
        <v>0.3</v>
      </c>
      <c r="M542">
        <f t="shared" si="20"/>
        <v>7.0685834705770348E-2</v>
      </c>
      <c r="N542">
        <v>1</v>
      </c>
    </row>
    <row r="543" spans="2:15" x14ac:dyDescent="0.45">
      <c r="B543" t="s">
        <v>103</v>
      </c>
      <c r="C543" t="str">
        <f t="shared" si="19"/>
        <v>YO06</v>
      </c>
      <c r="D543">
        <v>6</v>
      </c>
      <c r="E543" s="19">
        <v>45812</v>
      </c>
      <c r="J543">
        <v>3</v>
      </c>
      <c r="K543" t="s">
        <v>79</v>
      </c>
      <c r="L543">
        <v>1.2</v>
      </c>
      <c r="M543">
        <f t="shared" si="20"/>
        <v>1.1309733552923256</v>
      </c>
    </row>
    <row r="544" spans="2:15" x14ac:dyDescent="0.45">
      <c r="B544" t="s">
        <v>103</v>
      </c>
      <c r="C544" t="str">
        <f t="shared" si="19"/>
        <v>YO06</v>
      </c>
      <c r="D544">
        <v>6</v>
      </c>
      <c r="E544" s="19">
        <v>45812</v>
      </c>
      <c r="J544">
        <v>3</v>
      </c>
      <c r="K544" t="s">
        <v>79</v>
      </c>
      <c r="L544">
        <v>1.4</v>
      </c>
      <c r="M544">
        <f t="shared" si="20"/>
        <v>1.5393804002589984</v>
      </c>
    </row>
    <row r="545" spans="2:15" x14ac:dyDescent="0.45">
      <c r="B545" t="s">
        <v>103</v>
      </c>
      <c r="C545" t="str">
        <f t="shared" ref="C545:C564" si="21">"YO" &amp; TEXT(D545, "00")</f>
        <v>YO06</v>
      </c>
      <c r="D545">
        <v>6</v>
      </c>
      <c r="E545" s="19">
        <v>45812</v>
      </c>
      <c r="J545">
        <v>4</v>
      </c>
      <c r="K545" t="s">
        <v>79</v>
      </c>
      <c r="L545">
        <v>0.5</v>
      </c>
      <c r="M545">
        <f t="shared" si="20"/>
        <v>0.19634954084936207</v>
      </c>
    </row>
    <row r="546" spans="2:15" x14ac:dyDescent="0.45">
      <c r="B546" t="s">
        <v>103</v>
      </c>
      <c r="C546" t="str">
        <f t="shared" si="21"/>
        <v>YO06</v>
      </c>
      <c r="D546">
        <v>6</v>
      </c>
      <c r="E546" s="19">
        <v>45812</v>
      </c>
      <c r="J546">
        <v>5</v>
      </c>
      <c r="K546" t="s">
        <v>79</v>
      </c>
      <c r="L546">
        <v>0.2</v>
      </c>
      <c r="M546">
        <f t="shared" si="20"/>
        <v>3.1415926535897934E-2</v>
      </c>
    </row>
    <row r="547" spans="2:15" x14ac:dyDescent="0.45">
      <c r="B547" t="s">
        <v>103</v>
      </c>
      <c r="C547" t="str">
        <f t="shared" si="21"/>
        <v>YO06</v>
      </c>
      <c r="D547">
        <v>6</v>
      </c>
      <c r="E547" s="19">
        <v>45812</v>
      </c>
      <c r="J547">
        <v>5</v>
      </c>
      <c r="K547" t="s">
        <v>79</v>
      </c>
      <c r="L547">
        <v>0.2</v>
      </c>
      <c r="M547">
        <f t="shared" si="20"/>
        <v>3.1415926535897934E-2</v>
      </c>
    </row>
    <row r="548" spans="2:15" x14ac:dyDescent="0.45">
      <c r="B548" t="s">
        <v>103</v>
      </c>
      <c r="C548" t="str">
        <f t="shared" si="21"/>
        <v>YO01</v>
      </c>
      <c r="D548">
        <v>1</v>
      </c>
      <c r="E548" s="19">
        <v>45812</v>
      </c>
      <c r="F548">
        <v>18</v>
      </c>
      <c r="J548">
        <v>1</v>
      </c>
      <c r="K548" t="s">
        <v>79</v>
      </c>
      <c r="L548">
        <v>1.4</v>
      </c>
      <c r="M548">
        <f t="shared" si="20"/>
        <v>1.5393804002589984</v>
      </c>
    </row>
    <row r="549" spans="2:15" x14ac:dyDescent="0.45">
      <c r="B549" t="s">
        <v>103</v>
      </c>
      <c r="C549" t="str">
        <f t="shared" si="21"/>
        <v>YO01</v>
      </c>
      <c r="D549">
        <v>1</v>
      </c>
      <c r="E549" s="19">
        <v>45812</v>
      </c>
      <c r="F549">
        <v>18</v>
      </c>
      <c r="J549">
        <v>1</v>
      </c>
      <c r="K549" t="s">
        <v>79</v>
      </c>
      <c r="L549">
        <v>1.8</v>
      </c>
      <c r="M549">
        <f t="shared" si="20"/>
        <v>2.5446900494077327</v>
      </c>
    </row>
    <row r="550" spans="2:15" x14ac:dyDescent="0.45">
      <c r="B550" t="s">
        <v>103</v>
      </c>
      <c r="C550" t="str">
        <f t="shared" si="21"/>
        <v>YO01</v>
      </c>
      <c r="D550">
        <v>1</v>
      </c>
      <c r="E550" s="19">
        <v>45812</v>
      </c>
      <c r="F550">
        <v>18</v>
      </c>
      <c r="J550">
        <v>1</v>
      </c>
      <c r="K550" t="s">
        <v>79</v>
      </c>
      <c r="L550">
        <v>1</v>
      </c>
      <c r="M550">
        <f t="shared" si="20"/>
        <v>0.78539816339744828</v>
      </c>
    </row>
    <row r="551" spans="2:15" x14ac:dyDescent="0.45">
      <c r="B551" t="s">
        <v>103</v>
      </c>
      <c r="C551" t="str">
        <f t="shared" si="21"/>
        <v>YO01</v>
      </c>
      <c r="D551">
        <v>1</v>
      </c>
      <c r="E551" s="19">
        <v>45812</v>
      </c>
      <c r="J551">
        <v>2</v>
      </c>
      <c r="M551" t="str">
        <f t="shared" si="20"/>
        <v/>
      </c>
      <c r="N551">
        <v>4</v>
      </c>
    </row>
    <row r="552" spans="2:15" x14ac:dyDescent="0.45">
      <c r="B552" t="s">
        <v>103</v>
      </c>
      <c r="C552" t="str">
        <f t="shared" si="21"/>
        <v>YO10</v>
      </c>
      <c r="D552">
        <v>10</v>
      </c>
      <c r="E552" s="19">
        <v>45812</v>
      </c>
      <c r="F552">
        <v>17</v>
      </c>
      <c r="J552">
        <v>1</v>
      </c>
      <c r="M552" t="str">
        <f t="shared" si="20"/>
        <v/>
      </c>
    </row>
    <row r="553" spans="2:15" x14ac:dyDescent="0.45">
      <c r="B553" t="s">
        <v>103</v>
      </c>
      <c r="C553" t="str">
        <f t="shared" si="21"/>
        <v>YO13</v>
      </c>
      <c r="D553">
        <v>13</v>
      </c>
      <c r="E553" s="19">
        <v>45812</v>
      </c>
      <c r="F553">
        <v>53</v>
      </c>
      <c r="J553">
        <v>1</v>
      </c>
      <c r="M553" t="str">
        <f t="shared" si="20"/>
        <v/>
      </c>
      <c r="N553">
        <v>1</v>
      </c>
    </row>
    <row r="554" spans="2:15" x14ac:dyDescent="0.45">
      <c r="B554" t="s">
        <v>103</v>
      </c>
      <c r="C554" t="str">
        <f t="shared" si="21"/>
        <v>YO13</v>
      </c>
      <c r="D554">
        <v>13</v>
      </c>
      <c r="E554" s="19">
        <v>45812</v>
      </c>
      <c r="J554">
        <v>2</v>
      </c>
      <c r="K554" t="s">
        <v>79</v>
      </c>
      <c r="L554">
        <v>0.1</v>
      </c>
      <c r="M554">
        <f t="shared" si="20"/>
        <v>7.8539816339744835E-3</v>
      </c>
      <c r="O554">
        <v>4</v>
      </c>
    </row>
    <row r="555" spans="2:15" x14ac:dyDescent="0.45">
      <c r="B555" t="s">
        <v>103</v>
      </c>
      <c r="C555" t="str">
        <f t="shared" si="21"/>
        <v>YO13</v>
      </c>
      <c r="D555">
        <v>13</v>
      </c>
      <c r="E555" s="19">
        <v>45812</v>
      </c>
      <c r="J555">
        <v>2</v>
      </c>
      <c r="K555" t="s">
        <v>79</v>
      </c>
      <c r="L555">
        <v>0.1</v>
      </c>
      <c r="M555">
        <f t="shared" si="20"/>
        <v>7.8539816339744835E-3</v>
      </c>
      <c r="O555">
        <v>4</v>
      </c>
    </row>
    <row r="556" spans="2:15" x14ac:dyDescent="0.45">
      <c r="B556" t="s">
        <v>103</v>
      </c>
      <c r="C556" t="str">
        <f t="shared" si="21"/>
        <v>YO13</v>
      </c>
      <c r="D556">
        <v>13</v>
      </c>
      <c r="E556" s="19">
        <v>45812</v>
      </c>
      <c r="J556">
        <v>3</v>
      </c>
      <c r="M556" t="str">
        <f t="shared" si="20"/>
        <v/>
      </c>
    </row>
    <row r="557" spans="2:15" x14ac:dyDescent="0.45">
      <c r="B557" t="s">
        <v>103</v>
      </c>
      <c r="C557" t="str">
        <f t="shared" si="21"/>
        <v>YO23</v>
      </c>
      <c r="D557">
        <v>23</v>
      </c>
      <c r="E557" s="19">
        <v>45812</v>
      </c>
      <c r="G557" t="s">
        <v>104</v>
      </c>
      <c r="M557" t="str">
        <f t="shared" si="20"/>
        <v/>
      </c>
    </row>
    <row r="558" spans="2:15" x14ac:dyDescent="0.45">
      <c r="B558" t="s">
        <v>103</v>
      </c>
      <c r="C558" t="str">
        <f t="shared" si="21"/>
        <v>YO19</v>
      </c>
      <c r="D558">
        <v>19</v>
      </c>
      <c r="E558" s="19">
        <v>45812</v>
      </c>
      <c r="G558" t="s">
        <v>104</v>
      </c>
      <c r="M558" t="str">
        <f t="shared" si="20"/>
        <v/>
      </c>
    </row>
    <row r="559" spans="2:15" x14ac:dyDescent="0.45">
      <c r="B559" t="s">
        <v>103</v>
      </c>
      <c r="C559" t="str">
        <f t="shared" si="21"/>
        <v>YO02</v>
      </c>
      <c r="D559">
        <v>2</v>
      </c>
      <c r="E559" s="19">
        <v>45812</v>
      </c>
      <c r="G559" t="s">
        <v>104</v>
      </c>
      <c r="M559" t="str">
        <f t="shared" si="20"/>
        <v/>
      </c>
    </row>
    <row r="560" spans="2:15" x14ac:dyDescent="0.45">
      <c r="B560" t="s">
        <v>103</v>
      </c>
      <c r="C560" t="str">
        <f t="shared" si="21"/>
        <v>YO25</v>
      </c>
      <c r="D560">
        <v>25</v>
      </c>
      <c r="E560" s="19">
        <v>45812</v>
      </c>
      <c r="G560" t="s">
        <v>104</v>
      </c>
      <c r="M560" t="str">
        <f t="shared" si="20"/>
        <v/>
      </c>
    </row>
    <row r="561" spans="1:15" x14ac:dyDescent="0.45">
      <c r="B561" t="s">
        <v>103</v>
      </c>
      <c r="C561" t="str">
        <f t="shared" si="21"/>
        <v>YO17</v>
      </c>
      <c r="D561">
        <v>17</v>
      </c>
      <c r="E561" s="19">
        <v>45812</v>
      </c>
      <c r="G561" t="s">
        <v>104</v>
      </c>
      <c r="M561" t="str">
        <f t="shared" si="20"/>
        <v/>
      </c>
    </row>
    <row r="562" spans="1:15" x14ac:dyDescent="0.45">
      <c r="B562" t="s">
        <v>103</v>
      </c>
      <c r="C562" t="str">
        <f t="shared" si="21"/>
        <v>YO03</v>
      </c>
      <c r="D562">
        <v>3</v>
      </c>
      <c r="E562" s="19">
        <v>45812</v>
      </c>
      <c r="G562" t="s">
        <v>104</v>
      </c>
      <c r="M562" t="str">
        <f t="shared" si="20"/>
        <v/>
      </c>
    </row>
    <row r="563" spans="1:15" x14ac:dyDescent="0.45">
      <c r="B563" t="s">
        <v>103</v>
      </c>
      <c r="C563" t="str">
        <f t="shared" si="21"/>
        <v>YO07</v>
      </c>
      <c r="D563">
        <v>7</v>
      </c>
      <c r="E563" s="19">
        <v>45812</v>
      </c>
      <c r="G563" t="s">
        <v>104</v>
      </c>
      <c r="M563" t="str">
        <f t="shared" si="20"/>
        <v/>
      </c>
    </row>
    <row r="564" spans="1:15" x14ac:dyDescent="0.45">
      <c r="B564" t="s">
        <v>103</v>
      </c>
      <c r="C564" t="str">
        <f t="shared" si="21"/>
        <v>YO24</v>
      </c>
      <c r="D564">
        <v>24</v>
      </c>
      <c r="E564" s="19">
        <v>45812</v>
      </c>
      <c r="G564" t="s">
        <v>105</v>
      </c>
      <c r="M564" t="str">
        <f t="shared" si="20"/>
        <v/>
      </c>
    </row>
    <row r="565" spans="1:15" x14ac:dyDescent="0.45">
      <c r="A565">
        <v>1</v>
      </c>
      <c r="B565" t="s">
        <v>74</v>
      </c>
      <c r="C565" t="str">
        <f t="shared" ref="C565:C628" si="22">"A" &amp; UPPER(LEFT(B565,1)) &amp; A565</f>
        <v>AW1</v>
      </c>
      <c r="E565" s="19">
        <v>45820</v>
      </c>
      <c r="H565" t="s">
        <v>75</v>
      </c>
      <c r="I565" t="s">
        <v>76</v>
      </c>
      <c r="M565" t="str">
        <f t="shared" si="20"/>
        <v/>
      </c>
    </row>
    <row r="566" spans="1:15" x14ac:dyDescent="0.45">
      <c r="A566">
        <v>1</v>
      </c>
      <c r="B566" t="s">
        <v>74</v>
      </c>
      <c r="C566" t="str">
        <f t="shared" si="22"/>
        <v>AW1</v>
      </c>
      <c r="E566" s="19">
        <v>45820</v>
      </c>
      <c r="H566" t="s">
        <v>75</v>
      </c>
      <c r="I566" t="s">
        <v>78</v>
      </c>
      <c r="K566" t="s">
        <v>77</v>
      </c>
      <c r="L566">
        <v>0.4</v>
      </c>
      <c r="M566">
        <f t="shared" si="20"/>
        <v>8.377580409572781E-2</v>
      </c>
    </row>
    <row r="567" spans="1:15" x14ac:dyDescent="0.45">
      <c r="A567">
        <v>1</v>
      </c>
      <c r="B567" t="s">
        <v>74</v>
      </c>
      <c r="C567" t="str">
        <f t="shared" si="22"/>
        <v>AW1</v>
      </c>
      <c r="E567" s="19">
        <v>45820</v>
      </c>
      <c r="H567" t="s">
        <v>75</v>
      </c>
      <c r="I567" t="s">
        <v>78</v>
      </c>
      <c r="K567" t="s">
        <v>79</v>
      </c>
      <c r="L567">
        <v>0.3</v>
      </c>
      <c r="M567">
        <f t="shared" si="20"/>
        <v>7.0685834705770348E-2</v>
      </c>
    </row>
    <row r="568" spans="1:15" x14ac:dyDescent="0.45">
      <c r="A568">
        <v>1</v>
      </c>
      <c r="B568" t="s">
        <v>74</v>
      </c>
      <c r="C568" t="str">
        <f t="shared" si="22"/>
        <v>AW1</v>
      </c>
      <c r="E568" s="19">
        <v>45820</v>
      </c>
      <c r="H568" t="s">
        <v>75</v>
      </c>
      <c r="I568" t="s">
        <v>78</v>
      </c>
      <c r="K568" t="s">
        <v>79</v>
      </c>
      <c r="L568">
        <v>0.2</v>
      </c>
      <c r="M568">
        <f t="shared" si="20"/>
        <v>3.1415926535897934E-2</v>
      </c>
    </row>
    <row r="569" spans="1:15" x14ac:dyDescent="0.45">
      <c r="A569">
        <v>1</v>
      </c>
      <c r="B569" t="s">
        <v>74</v>
      </c>
      <c r="C569" t="str">
        <f t="shared" si="22"/>
        <v>AW1</v>
      </c>
      <c r="E569" s="19">
        <v>45820</v>
      </c>
      <c r="H569" t="s">
        <v>75</v>
      </c>
      <c r="I569" t="s">
        <v>78</v>
      </c>
      <c r="K569" t="s">
        <v>79</v>
      </c>
      <c r="L569">
        <v>0.1</v>
      </c>
      <c r="M569">
        <f t="shared" si="20"/>
        <v>7.8539816339744835E-3</v>
      </c>
    </row>
    <row r="570" spans="1:15" x14ac:dyDescent="0.45">
      <c r="A570">
        <v>1</v>
      </c>
      <c r="B570" t="s">
        <v>74</v>
      </c>
      <c r="C570" t="str">
        <f t="shared" si="22"/>
        <v>AW1</v>
      </c>
      <c r="E570" s="19">
        <v>45820</v>
      </c>
      <c r="H570" t="s">
        <v>75</v>
      </c>
      <c r="I570" t="s">
        <v>80</v>
      </c>
      <c r="K570" t="s">
        <v>77</v>
      </c>
      <c r="L570">
        <v>1</v>
      </c>
      <c r="M570">
        <f t="shared" si="20"/>
        <v>0.52359877559829882</v>
      </c>
    </row>
    <row r="571" spans="1:15" x14ac:dyDescent="0.45">
      <c r="A571">
        <v>1</v>
      </c>
      <c r="B571" t="s">
        <v>74</v>
      </c>
      <c r="C571" t="str">
        <f t="shared" si="22"/>
        <v>AW1</v>
      </c>
      <c r="E571" s="19">
        <v>45820</v>
      </c>
      <c r="H571" t="s">
        <v>75</v>
      </c>
      <c r="I571" t="s">
        <v>80</v>
      </c>
      <c r="K571" t="s">
        <v>79</v>
      </c>
      <c r="L571">
        <v>0.4</v>
      </c>
      <c r="M571">
        <f t="shared" si="20"/>
        <v>0.12566370614359174</v>
      </c>
    </row>
    <row r="572" spans="1:15" x14ac:dyDescent="0.45">
      <c r="A572">
        <v>1</v>
      </c>
      <c r="B572" t="s">
        <v>74</v>
      </c>
      <c r="C572" t="str">
        <f t="shared" si="22"/>
        <v>AW1</v>
      </c>
      <c r="E572" s="19">
        <v>45820</v>
      </c>
      <c r="H572" t="s">
        <v>81</v>
      </c>
      <c r="I572" t="s">
        <v>76</v>
      </c>
      <c r="K572" t="s">
        <v>79</v>
      </c>
      <c r="L572">
        <v>0.2</v>
      </c>
      <c r="M572">
        <f t="shared" si="20"/>
        <v>3.1415926535897934E-2</v>
      </c>
      <c r="O572">
        <v>4</v>
      </c>
    </row>
    <row r="573" spans="1:15" x14ac:dyDescent="0.45">
      <c r="A573">
        <v>1</v>
      </c>
      <c r="B573" t="s">
        <v>74</v>
      </c>
      <c r="C573" t="str">
        <f t="shared" si="22"/>
        <v>AW1</v>
      </c>
      <c r="E573" s="19">
        <v>45820</v>
      </c>
      <c r="H573" t="s">
        <v>81</v>
      </c>
      <c r="I573" t="s">
        <v>78</v>
      </c>
      <c r="K573" t="s">
        <v>77</v>
      </c>
      <c r="L573">
        <v>1.3</v>
      </c>
      <c r="M573">
        <f t="shared" si="20"/>
        <v>0.88488193076112509</v>
      </c>
    </row>
    <row r="574" spans="1:15" x14ac:dyDescent="0.45">
      <c r="A574">
        <v>1</v>
      </c>
      <c r="B574" t="s">
        <v>74</v>
      </c>
      <c r="C574" t="str">
        <f t="shared" si="22"/>
        <v>AW1</v>
      </c>
      <c r="E574" s="19">
        <v>45820</v>
      </c>
      <c r="H574" t="s">
        <v>81</v>
      </c>
      <c r="I574" t="s">
        <v>78</v>
      </c>
      <c r="K574" t="s">
        <v>77</v>
      </c>
      <c r="L574">
        <v>0.8</v>
      </c>
      <c r="M574">
        <f t="shared" si="20"/>
        <v>0.33510321638291124</v>
      </c>
    </row>
    <row r="575" spans="1:15" x14ac:dyDescent="0.45">
      <c r="A575">
        <v>1</v>
      </c>
      <c r="B575" t="s">
        <v>74</v>
      </c>
      <c r="C575" t="str">
        <f t="shared" si="22"/>
        <v>AW1</v>
      </c>
      <c r="E575" s="19">
        <v>45820</v>
      </c>
      <c r="H575" t="s">
        <v>81</v>
      </c>
      <c r="I575" t="s">
        <v>78</v>
      </c>
      <c r="K575" t="s">
        <v>77</v>
      </c>
      <c r="L575">
        <v>0.6</v>
      </c>
      <c r="M575">
        <f t="shared" si="20"/>
        <v>0.18849555921538758</v>
      </c>
    </row>
    <row r="576" spans="1:15" x14ac:dyDescent="0.45">
      <c r="A576">
        <v>1</v>
      </c>
      <c r="B576" t="s">
        <v>74</v>
      </c>
      <c r="C576" t="str">
        <f t="shared" si="22"/>
        <v>AW1</v>
      </c>
      <c r="E576" s="19">
        <v>45820</v>
      </c>
      <c r="H576" t="s">
        <v>81</v>
      </c>
      <c r="I576" t="s">
        <v>80</v>
      </c>
      <c r="K576" t="s">
        <v>79</v>
      </c>
      <c r="L576">
        <v>0.4</v>
      </c>
      <c r="M576">
        <f t="shared" si="20"/>
        <v>0.12566370614359174</v>
      </c>
      <c r="N576">
        <v>1</v>
      </c>
    </row>
    <row r="577" spans="1:13" x14ac:dyDescent="0.45">
      <c r="A577">
        <v>1</v>
      </c>
      <c r="B577" t="s">
        <v>74</v>
      </c>
      <c r="C577" t="str">
        <f t="shared" si="22"/>
        <v>AW1</v>
      </c>
      <c r="E577" s="19">
        <v>45820</v>
      </c>
      <c r="H577" t="s">
        <v>81</v>
      </c>
      <c r="I577" t="s">
        <v>80</v>
      </c>
      <c r="K577" t="s">
        <v>79</v>
      </c>
      <c r="L577">
        <v>0.4</v>
      </c>
      <c r="M577">
        <f t="shared" si="20"/>
        <v>0.12566370614359174</v>
      </c>
    </row>
    <row r="578" spans="1:13" x14ac:dyDescent="0.45">
      <c r="A578">
        <v>1</v>
      </c>
      <c r="B578" t="s">
        <v>82</v>
      </c>
      <c r="C578" t="str">
        <f t="shared" si="22"/>
        <v>AR1</v>
      </c>
      <c r="E578" s="19">
        <v>45820</v>
      </c>
      <c r="H578" t="s">
        <v>75</v>
      </c>
      <c r="I578" t="s">
        <v>76</v>
      </c>
      <c r="K578" t="s">
        <v>77</v>
      </c>
      <c r="L578">
        <v>1.1000000000000001</v>
      </c>
      <c r="M578">
        <f t="shared" si="20"/>
        <v>0.63355451847394173</v>
      </c>
    </row>
    <row r="579" spans="1:13" x14ac:dyDescent="0.45">
      <c r="A579">
        <v>1</v>
      </c>
      <c r="B579" t="s">
        <v>82</v>
      </c>
      <c r="C579" t="str">
        <f t="shared" si="22"/>
        <v>AR1</v>
      </c>
      <c r="E579" s="19">
        <v>45820</v>
      </c>
      <c r="H579" t="s">
        <v>75</v>
      </c>
      <c r="I579" t="s">
        <v>76</v>
      </c>
      <c r="K579" t="s">
        <v>77</v>
      </c>
      <c r="L579">
        <v>1.1000000000000001</v>
      </c>
      <c r="M579">
        <f t="shared" si="20"/>
        <v>0.63355451847394173</v>
      </c>
    </row>
    <row r="580" spans="1:13" x14ac:dyDescent="0.45">
      <c r="A580">
        <v>1</v>
      </c>
      <c r="B580" t="s">
        <v>82</v>
      </c>
      <c r="C580" t="str">
        <f t="shared" si="22"/>
        <v>AR1</v>
      </c>
      <c r="E580" s="19">
        <v>45820</v>
      </c>
      <c r="H580" t="s">
        <v>75</v>
      </c>
      <c r="I580" t="s">
        <v>76</v>
      </c>
      <c r="K580" t="s">
        <v>77</v>
      </c>
      <c r="L580">
        <v>0.6</v>
      </c>
      <c r="M580">
        <f t="shared" si="20"/>
        <v>0.18849555921538758</v>
      </c>
    </row>
    <row r="581" spans="1:13" x14ac:dyDescent="0.45">
      <c r="A581">
        <v>1</v>
      </c>
      <c r="B581" t="s">
        <v>82</v>
      </c>
      <c r="C581" t="str">
        <f t="shared" si="22"/>
        <v>AR1</v>
      </c>
      <c r="E581" s="19">
        <v>45820</v>
      </c>
      <c r="H581" t="s">
        <v>75</v>
      </c>
      <c r="I581" t="s">
        <v>76</v>
      </c>
      <c r="K581" t="s">
        <v>79</v>
      </c>
      <c r="L581">
        <v>0.3</v>
      </c>
      <c r="M581">
        <f t="shared" si="20"/>
        <v>7.0685834705770348E-2</v>
      </c>
    </row>
    <row r="582" spans="1:13" x14ac:dyDescent="0.45">
      <c r="A582">
        <v>1</v>
      </c>
      <c r="B582" t="s">
        <v>82</v>
      </c>
      <c r="C582" t="str">
        <f t="shared" si="22"/>
        <v>AR1</v>
      </c>
      <c r="E582" s="19">
        <v>45820</v>
      </c>
      <c r="H582" t="s">
        <v>75</v>
      </c>
      <c r="I582" t="s">
        <v>76</v>
      </c>
      <c r="K582" t="s">
        <v>79</v>
      </c>
      <c r="L582">
        <v>0.2</v>
      </c>
      <c r="M582">
        <f t="shared" si="20"/>
        <v>3.1415926535897934E-2</v>
      </c>
    </row>
    <row r="583" spans="1:13" x14ac:dyDescent="0.45">
      <c r="A583">
        <v>1</v>
      </c>
      <c r="B583" t="s">
        <v>82</v>
      </c>
      <c r="C583" t="str">
        <f t="shared" si="22"/>
        <v>AR1</v>
      </c>
      <c r="E583" s="19">
        <v>45820</v>
      </c>
      <c r="H583" t="s">
        <v>75</v>
      </c>
      <c r="I583" t="s">
        <v>76</v>
      </c>
      <c r="K583" t="s">
        <v>79</v>
      </c>
      <c r="L583">
        <v>0.2</v>
      </c>
      <c r="M583">
        <f t="shared" si="20"/>
        <v>3.1415926535897934E-2</v>
      </c>
    </row>
    <row r="584" spans="1:13" x14ac:dyDescent="0.45">
      <c r="A584">
        <v>1</v>
      </c>
      <c r="B584" t="s">
        <v>82</v>
      </c>
      <c r="C584" t="str">
        <f t="shared" si="22"/>
        <v>AR1</v>
      </c>
      <c r="E584" s="19">
        <v>45820</v>
      </c>
      <c r="H584" t="s">
        <v>75</v>
      </c>
      <c r="I584" t="s">
        <v>76</v>
      </c>
      <c r="K584" t="s">
        <v>77</v>
      </c>
      <c r="L584">
        <v>0.2</v>
      </c>
      <c r="M584">
        <f t="shared" si="20"/>
        <v>2.0943951023931952E-2</v>
      </c>
    </row>
    <row r="585" spans="1:13" x14ac:dyDescent="0.45">
      <c r="A585">
        <v>1</v>
      </c>
      <c r="B585" t="s">
        <v>82</v>
      </c>
      <c r="C585" t="str">
        <f t="shared" si="22"/>
        <v>AR1</v>
      </c>
      <c r="E585" s="19">
        <v>45820</v>
      </c>
      <c r="H585" t="s">
        <v>75</v>
      </c>
      <c r="I585" t="s">
        <v>78</v>
      </c>
      <c r="K585" t="s">
        <v>79</v>
      </c>
      <c r="L585">
        <v>1.5</v>
      </c>
      <c r="M585">
        <f t="shared" si="20"/>
        <v>1.7671458676442586</v>
      </c>
    </row>
    <row r="586" spans="1:13" x14ac:dyDescent="0.45">
      <c r="A586">
        <v>1</v>
      </c>
      <c r="B586" t="s">
        <v>82</v>
      </c>
      <c r="C586" t="str">
        <f t="shared" si="22"/>
        <v>AR1</v>
      </c>
      <c r="E586" s="19">
        <v>45820</v>
      </c>
      <c r="H586" t="s">
        <v>75</v>
      </c>
      <c r="I586" t="s">
        <v>78</v>
      </c>
      <c r="K586" t="s">
        <v>77</v>
      </c>
      <c r="L586">
        <v>1.4</v>
      </c>
      <c r="M586">
        <f t="shared" si="20"/>
        <v>1.0262536001726656</v>
      </c>
    </row>
    <row r="587" spans="1:13" x14ac:dyDescent="0.45">
      <c r="A587">
        <v>1</v>
      </c>
      <c r="B587" t="s">
        <v>82</v>
      </c>
      <c r="C587" t="str">
        <f t="shared" si="22"/>
        <v>AR1</v>
      </c>
      <c r="E587" s="19">
        <v>45820</v>
      </c>
      <c r="H587" t="s">
        <v>75</v>
      </c>
      <c r="I587" t="s">
        <v>78</v>
      </c>
      <c r="K587" t="s">
        <v>77</v>
      </c>
      <c r="L587">
        <v>0.3</v>
      </c>
      <c r="M587">
        <f t="shared" si="20"/>
        <v>4.7123889803846894E-2</v>
      </c>
    </row>
    <row r="588" spans="1:13" x14ac:dyDescent="0.45">
      <c r="A588">
        <v>1</v>
      </c>
      <c r="B588" t="s">
        <v>82</v>
      </c>
      <c r="C588" t="str">
        <f t="shared" si="22"/>
        <v>AR1</v>
      </c>
      <c r="E588" s="19">
        <v>45820</v>
      </c>
      <c r="H588" t="s">
        <v>75</v>
      </c>
      <c r="I588" t="s">
        <v>78</v>
      </c>
      <c r="K588" t="s">
        <v>77</v>
      </c>
      <c r="L588">
        <v>0.5</v>
      </c>
      <c r="M588">
        <f t="shared" si="20"/>
        <v>0.1308996938995747</v>
      </c>
    </row>
    <row r="589" spans="1:13" x14ac:dyDescent="0.45">
      <c r="A589">
        <v>1</v>
      </c>
      <c r="B589" t="s">
        <v>82</v>
      </c>
      <c r="C589" t="str">
        <f t="shared" si="22"/>
        <v>AR1</v>
      </c>
      <c r="E589" s="19">
        <v>45820</v>
      </c>
      <c r="H589" t="s">
        <v>75</v>
      </c>
      <c r="I589" t="s">
        <v>78</v>
      </c>
      <c r="K589" t="s">
        <v>77</v>
      </c>
      <c r="L589">
        <v>0.5</v>
      </c>
      <c r="M589">
        <f t="shared" si="20"/>
        <v>0.1308996938995747</v>
      </c>
    </row>
    <row r="590" spans="1:13" x14ac:dyDescent="0.45">
      <c r="A590">
        <v>1</v>
      </c>
      <c r="B590" t="s">
        <v>82</v>
      </c>
      <c r="C590" t="str">
        <f t="shared" si="22"/>
        <v>AR1</v>
      </c>
      <c r="E590" s="19">
        <v>45820</v>
      </c>
      <c r="H590" t="s">
        <v>75</v>
      </c>
      <c r="I590" t="s">
        <v>78</v>
      </c>
      <c r="K590" t="s">
        <v>77</v>
      </c>
      <c r="L590">
        <v>0.3</v>
      </c>
      <c r="M590">
        <f t="shared" si="20"/>
        <v>4.7123889803846894E-2</v>
      </c>
    </row>
    <row r="591" spans="1:13" x14ac:dyDescent="0.45">
      <c r="A591">
        <v>1</v>
      </c>
      <c r="B591" t="s">
        <v>82</v>
      </c>
      <c r="C591" t="str">
        <f t="shared" si="22"/>
        <v>AR1</v>
      </c>
      <c r="E591" s="19">
        <v>45820</v>
      </c>
      <c r="H591" t="s">
        <v>75</v>
      </c>
      <c r="I591" t="s">
        <v>78</v>
      </c>
      <c r="K591" t="s">
        <v>79</v>
      </c>
      <c r="L591">
        <v>0.2</v>
      </c>
      <c r="M591">
        <f t="shared" si="20"/>
        <v>3.1415926535897934E-2</v>
      </c>
    </row>
    <row r="592" spans="1:13" x14ac:dyDescent="0.45">
      <c r="A592">
        <v>1</v>
      </c>
      <c r="B592" t="s">
        <v>82</v>
      </c>
      <c r="C592" t="str">
        <f t="shared" si="22"/>
        <v>AR1</v>
      </c>
      <c r="E592" s="19">
        <v>45820</v>
      </c>
      <c r="H592" t="s">
        <v>75</v>
      </c>
      <c r="I592" t="s">
        <v>78</v>
      </c>
      <c r="K592" t="s">
        <v>79</v>
      </c>
      <c r="L592">
        <v>0.4</v>
      </c>
      <c r="M592">
        <f t="shared" si="20"/>
        <v>0.12566370614359174</v>
      </c>
    </row>
    <row r="593" spans="1:15" x14ac:dyDescent="0.45">
      <c r="A593">
        <v>1</v>
      </c>
      <c r="B593" t="s">
        <v>82</v>
      </c>
      <c r="C593" t="str">
        <f t="shared" si="22"/>
        <v>AR1</v>
      </c>
      <c r="E593" s="19">
        <v>45820</v>
      </c>
      <c r="H593" t="s">
        <v>75</v>
      </c>
      <c r="I593" t="s">
        <v>78</v>
      </c>
      <c r="K593" t="s">
        <v>79</v>
      </c>
      <c r="L593">
        <v>0.5</v>
      </c>
      <c r="M593">
        <f t="shared" si="20"/>
        <v>0.19634954084936207</v>
      </c>
    </row>
    <row r="594" spans="1:15" x14ac:dyDescent="0.45">
      <c r="A594">
        <v>1</v>
      </c>
      <c r="B594" t="s">
        <v>82</v>
      </c>
      <c r="C594" t="str">
        <f t="shared" si="22"/>
        <v>AR1</v>
      </c>
      <c r="E594" s="19">
        <v>45820</v>
      </c>
      <c r="H594" t="s">
        <v>75</v>
      </c>
      <c r="I594" t="s">
        <v>80</v>
      </c>
      <c r="M594" t="str">
        <f t="shared" ref="M594:M651" si="23">IF(OR(L594="na", L594=""), "", IF(K594="mm", PI()*(L594/2)^2, IF(K594="ep", PI()*(L594/2)*(L594*(2/3)/2), "")))</f>
        <v/>
      </c>
    </row>
    <row r="595" spans="1:15" x14ac:dyDescent="0.45">
      <c r="A595">
        <v>1</v>
      </c>
      <c r="B595" t="s">
        <v>82</v>
      </c>
      <c r="C595" t="str">
        <f t="shared" si="22"/>
        <v>AR1</v>
      </c>
      <c r="E595" s="19">
        <v>45820</v>
      </c>
      <c r="H595" t="s">
        <v>81</v>
      </c>
      <c r="I595" t="s">
        <v>76</v>
      </c>
      <c r="K595" t="s">
        <v>79</v>
      </c>
      <c r="L595">
        <v>2</v>
      </c>
      <c r="M595">
        <f t="shared" si="23"/>
        <v>3.1415926535897931</v>
      </c>
      <c r="O595">
        <v>3</v>
      </c>
    </row>
    <row r="596" spans="1:15" x14ac:dyDescent="0.45">
      <c r="A596">
        <v>1</v>
      </c>
      <c r="B596" t="s">
        <v>82</v>
      </c>
      <c r="C596" t="str">
        <f t="shared" si="22"/>
        <v>AR1</v>
      </c>
      <c r="E596" s="19">
        <v>45820</v>
      </c>
      <c r="H596" t="s">
        <v>81</v>
      </c>
      <c r="I596" t="s">
        <v>76</v>
      </c>
      <c r="K596" t="s">
        <v>79</v>
      </c>
      <c r="L596">
        <v>0.2</v>
      </c>
      <c r="M596">
        <f t="shared" si="23"/>
        <v>3.1415926535897934E-2</v>
      </c>
    </row>
    <row r="597" spans="1:15" x14ac:dyDescent="0.45">
      <c r="A597">
        <v>1</v>
      </c>
      <c r="B597" t="s">
        <v>82</v>
      </c>
      <c r="C597" t="str">
        <f t="shared" si="22"/>
        <v>AR1</v>
      </c>
      <c r="E597" s="19">
        <v>45820</v>
      </c>
      <c r="H597" t="s">
        <v>75</v>
      </c>
      <c r="I597" t="s">
        <v>76</v>
      </c>
      <c r="K597" t="s">
        <v>79</v>
      </c>
      <c r="L597">
        <v>0.2</v>
      </c>
      <c r="M597">
        <f t="shared" si="23"/>
        <v>3.1415926535897934E-2</v>
      </c>
    </row>
    <row r="598" spans="1:15" x14ac:dyDescent="0.45">
      <c r="A598">
        <v>1</v>
      </c>
      <c r="B598" t="s">
        <v>82</v>
      </c>
      <c r="C598" t="str">
        <f t="shared" si="22"/>
        <v>AR1</v>
      </c>
      <c r="E598" s="19">
        <v>45820</v>
      </c>
      <c r="H598" t="s">
        <v>81</v>
      </c>
      <c r="I598" t="s">
        <v>78</v>
      </c>
      <c r="K598" t="s">
        <v>77</v>
      </c>
      <c r="L598">
        <v>1.5</v>
      </c>
      <c r="M598">
        <f t="shared" si="23"/>
        <v>1.1780972450961724</v>
      </c>
      <c r="N598">
        <v>1</v>
      </c>
      <c r="O598">
        <v>1</v>
      </c>
    </row>
    <row r="599" spans="1:15" x14ac:dyDescent="0.45">
      <c r="A599">
        <v>1</v>
      </c>
      <c r="B599" t="s">
        <v>82</v>
      </c>
      <c r="C599" t="str">
        <f t="shared" si="22"/>
        <v>AR1</v>
      </c>
      <c r="E599" s="19">
        <v>45820</v>
      </c>
      <c r="H599" t="s">
        <v>81</v>
      </c>
      <c r="I599" t="s">
        <v>78</v>
      </c>
      <c r="K599" t="s">
        <v>79</v>
      </c>
      <c r="L599">
        <v>0.3</v>
      </c>
      <c r="M599">
        <f t="shared" si="23"/>
        <v>7.0685834705770348E-2</v>
      </c>
    </row>
    <row r="600" spans="1:15" x14ac:dyDescent="0.45">
      <c r="A600">
        <v>1</v>
      </c>
      <c r="B600" t="s">
        <v>82</v>
      </c>
      <c r="C600" t="str">
        <f t="shared" si="22"/>
        <v>AR1</v>
      </c>
      <c r="E600" s="19">
        <v>45820</v>
      </c>
      <c r="H600" t="s">
        <v>81</v>
      </c>
      <c r="I600" t="s">
        <v>78</v>
      </c>
      <c r="K600" t="s">
        <v>77</v>
      </c>
      <c r="L600">
        <v>0.6</v>
      </c>
      <c r="M600">
        <f t="shared" si="23"/>
        <v>0.18849555921538758</v>
      </c>
    </row>
    <row r="601" spans="1:15" x14ac:dyDescent="0.45">
      <c r="A601">
        <v>1</v>
      </c>
      <c r="B601" t="s">
        <v>82</v>
      </c>
      <c r="C601" t="str">
        <f t="shared" si="22"/>
        <v>AR1</v>
      </c>
      <c r="E601" s="19">
        <v>45820</v>
      </c>
      <c r="H601" t="s">
        <v>81</v>
      </c>
      <c r="I601" t="s">
        <v>80</v>
      </c>
      <c r="K601" t="s">
        <v>79</v>
      </c>
      <c r="L601">
        <v>0.4</v>
      </c>
      <c r="M601">
        <f t="shared" si="23"/>
        <v>0.12566370614359174</v>
      </c>
      <c r="N601">
        <v>1</v>
      </c>
    </row>
    <row r="602" spans="1:15" x14ac:dyDescent="0.45">
      <c r="A602">
        <v>2</v>
      </c>
      <c r="B602" t="s">
        <v>74</v>
      </c>
      <c r="C602" t="str">
        <f t="shared" si="22"/>
        <v>AW2</v>
      </c>
      <c r="E602" s="19">
        <v>45820</v>
      </c>
      <c r="H602" t="s">
        <v>75</v>
      </c>
      <c r="I602" t="s">
        <v>76</v>
      </c>
      <c r="M602" t="str">
        <f t="shared" si="23"/>
        <v/>
      </c>
    </row>
    <row r="603" spans="1:15" x14ac:dyDescent="0.45">
      <c r="A603">
        <v>2</v>
      </c>
      <c r="B603" t="s">
        <v>74</v>
      </c>
      <c r="C603" t="str">
        <f t="shared" si="22"/>
        <v>AW2</v>
      </c>
      <c r="E603" s="19">
        <v>45820</v>
      </c>
      <c r="H603" t="s">
        <v>75</v>
      </c>
      <c r="I603" t="s">
        <v>78</v>
      </c>
      <c r="M603" t="str">
        <f t="shared" si="23"/>
        <v/>
      </c>
      <c r="O603">
        <v>4</v>
      </c>
    </row>
    <row r="604" spans="1:15" x14ac:dyDescent="0.45">
      <c r="A604">
        <v>2</v>
      </c>
      <c r="B604" t="s">
        <v>74</v>
      </c>
      <c r="C604" t="str">
        <f t="shared" si="22"/>
        <v>AW2</v>
      </c>
      <c r="E604" s="19">
        <v>45820</v>
      </c>
      <c r="H604" t="s">
        <v>75</v>
      </c>
      <c r="I604" t="s">
        <v>80</v>
      </c>
      <c r="K604" t="s">
        <v>77</v>
      </c>
      <c r="L604">
        <v>1</v>
      </c>
      <c r="M604">
        <f t="shared" si="23"/>
        <v>0.52359877559829882</v>
      </c>
      <c r="O604">
        <v>3</v>
      </c>
    </row>
    <row r="605" spans="1:15" x14ac:dyDescent="0.45">
      <c r="A605">
        <v>2</v>
      </c>
      <c r="B605" t="s">
        <v>74</v>
      </c>
      <c r="C605" t="str">
        <f t="shared" si="22"/>
        <v>AW2</v>
      </c>
      <c r="E605" s="19">
        <v>45820</v>
      </c>
      <c r="H605" t="s">
        <v>81</v>
      </c>
      <c r="I605" t="s">
        <v>76</v>
      </c>
      <c r="M605" t="str">
        <f t="shared" si="23"/>
        <v/>
      </c>
      <c r="O605">
        <v>1</v>
      </c>
    </row>
    <row r="606" spans="1:15" x14ac:dyDescent="0.45">
      <c r="A606">
        <v>2</v>
      </c>
      <c r="B606" t="s">
        <v>74</v>
      </c>
      <c r="C606" t="str">
        <f t="shared" si="22"/>
        <v>AW2</v>
      </c>
      <c r="E606" s="19">
        <v>45820</v>
      </c>
      <c r="H606" t="s">
        <v>81</v>
      </c>
      <c r="I606" t="s">
        <v>78</v>
      </c>
      <c r="K606" t="s">
        <v>77</v>
      </c>
      <c r="L606">
        <v>1</v>
      </c>
      <c r="M606">
        <f t="shared" si="23"/>
        <v>0.52359877559829882</v>
      </c>
      <c r="O606">
        <v>2</v>
      </c>
    </row>
    <row r="607" spans="1:15" x14ac:dyDescent="0.45">
      <c r="A607">
        <v>2</v>
      </c>
      <c r="B607" t="s">
        <v>74</v>
      </c>
      <c r="C607" t="str">
        <f t="shared" si="22"/>
        <v>AW2</v>
      </c>
      <c r="E607" s="19">
        <v>45820</v>
      </c>
      <c r="H607" t="s">
        <v>81</v>
      </c>
      <c r="I607" t="s">
        <v>78</v>
      </c>
      <c r="K607" t="s">
        <v>79</v>
      </c>
      <c r="L607">
        <v>0.2</v>
      </c>
      <c r="M607">
        <f t="shared" si="23"/>
        <v>3.1415926535897934E-2</v>
      </c>
    </row>
    <row r="608" spans="1:15" x14ac:dyDescent="0.45">
      <c r="A608">
        <v>2</v>
      </c>
      <c r="B608" t="s">
        <v>74</v>
      </c>
      <c r="C608" t="str">
        <f t="shared" si="22"/>
        <v>AW2</v>
      </c>
      <c r="E608" s="19">
        <v>45820</v>
      </c>
      <c r="H608" t="s">
        <v>81</v>
      </c>
      <c r="I608" t="s">
        <v>80</v>
      </c>
      <c r="K608" t="s">
        <v>77</v>
      </c>
      <c r="L608">
        <v>1</v>
      </c>
      <c r="M608">
        <f t="shared" si="23"/>
        <v>0.52359877559829882</v>
      </c>
      <c r="N608">
        <v>2</v>
      </c>
    </row>
    <row r="609" spans="1:15" x14ac:dyDescent="0.45">
      <c r="A609">
        <v>2</v>
      </c>
      <c r="B609" t="s">
        <v>74</v>
      </c>
      <c r="C609" t="str">
        <f t="shared" si="22"/>
        <v>AW2</v>
      </c>
      <c r="E609" s="19">
        <v>45820</v>
      </c>
      <c r="H609" t="s">
        <v>81</v>
      </c>
      <c r="I609" t="s">
        <v>80</v>
      </c>
      <c r="K609" t="s">
        <v>79</v>
      </c>
      <c r="L609">
        <v>0.4</v>
      </c>
      <c r="M609">
        <f t="shared" si="23"/>
        <v>0.12566370614359174</v>
      </c>
    </row>
    <row r="610" spans="1:15" x14ac:dyDescent="0.45">
      <c r="A610">
        <v>2</v>
      </c>
      <c r="B610" t="s">
        <v>74</v>
      </c>
      <c r="C610" t="str">
        <f t="shared" si="22"/>
        <v>AW2</v>
      </c>
      <c r="E610" s="19">
        <v>45820</v>
      </c>
      <c r="H610" t="s">
        <v>81</v>
      </c>
      <c r="I610" t="s">
        <v>80</v>
      </c>
      <c r="K610" t="s">
        <v>79</v>
      </c>
      <c r="L610">
        <v>0.4</v>
      </c>
      <c r="M610">
        <f t="shared" si="23"/>
        <v>0.12566370614359174</v>
      </c>
    </row>
    <row r="611" spans="1:15" x14ac:dyDescent="0.45">
      <c r="A611">
        <v>2</v>
      </c>
      <c r="B611" t="s">
        <v>74</v>
      </c>
      <c r="C611" t="str">
        <f t="shared" si="22"/>
        <v>AW2</v>
      </c>
      <c r="E611" s="19">
        <v>45820</v>
      </c>
      <c r="H611" t="s">
        <v>81</v>
      </c>
      <c r="I611" t="s">
        <v>80</v>
      </c>
      <c r="K611" t="s">
        <v>79</v>
      </c>
      <c r="L611">
        <v>0.4</v>
      </c>
      <c r="M611">
        <f t="shared" si="23"/>
        <v>0.12566370614359174</v>
      </c>
    </row>
    <row r="612" spans="1:15" x14ac:dyDescent="0.45">
      <c r="A612">
        <v>2</v>
      </c>
      <c r="B612" t="s">
        <v>82</v>
      </c>
      <c r="C612" t="str">
        <f t="shared" si="22"/>
        <v>AR2</v>
      </c>
      <c r="E612" s="19">
        <v>45820</v>
      </c>
      <c r="H612" t="s">
        <v>75</v>
      </c>
      <c r="I612" t="s">
        <v>76</v>
      </c>
      <c r="K612" t="s">
        <v>77</v>
      </c>
      <c r="L612">
        <v>0.8</v>
      </c>
      <c r="M612">
        <f t="shared" si="23"/>
        <v>0.33510321638291124</v>
      </c>
      <c r="N612">
        <v>2</v>
      </c>
      <c r="O612">
        <v>3</v>
      </c>
    </row>
    <row r="613" spans="1:15" x14ac:dyDescent="0.45">
      <c r="A613">
        <v>2</v>
      </c>
      <c r="B613" t="s">
        <v>82</v>
      </c>
      <c r="C613" t="str">
        <f t="shared" si="22"/>
        <v>AR2</v>
      </c>
      <c r="E613" s="19">
        <v>45820</v>
      </c>
      <c r="H613" t="s">
        <v>75</v>
      </c>
      <c r="I613" t="s">
        <v>78</v>
      </c>
      <c r="K613" t="s">
        <v>79</v>
      </c>
      <c r="L613">
        <v>2.5</v>
      </c>
      <c r="M613">
        <f t="shared" si="23"/>
        <v>4.908738521234052</v>
      </c>
      <c r="N613">
        <v>2</v>
      </c>
      <c r="O613">
        <v>4</v>
      </c>
    </row>
    <row r="614" spans="1:15" x14ac:dyDescent="0.45">
      <c r="A614">
        <v>2</v>
      </c>
      <c r="B614" t="s">
        <v>82</v>
      </c>
      <c r="C614" t="str">
        <f t="shared" si="22"/>
        <v>AR2</v>
      </c>
      <c r="E614" s="19">
        <v>45820</v>
      </c>
      <c r="H614" t="s">
        <v>75</v>
      </c>
      <c r="I614" t="s">
        <v>78</v>
      </c>
      <c r="K614" t="s">
        <v>79</v>
      </c>
      <c r="L614">
        <v>1</v>
      </c>
      <c r="M614">
        <f t="shared" si="23"/>
        <v>0.78539816339744828</v>
      </c>
    </row>
    <row r="615" spans="1:15" x14ac:dyDescent="0.45">
      <c r="A615">
        <v>2</v>
      </c>
      <c r="B615" t="s">
        <v>82</v>
      </c>
      <c r="C615" t="str">
        <f t="shared" si="22"/>
        <v>AR2</v>
      </c>
      <c r="E615" s="19">
        <v>45820</v>
      </c>
      <c r="H615" t="s">
        <v>75</v>
      </c>
      <c r="I615" t="s">
        <v>78</v>
      </c>
      <c r="K615" t="s">
        <v>77</v>
      </c>
      <c r="L615">
        <v>1</v>
      </c>
      <c r="M615">
        <f t="shared" si="23"/>
        <v>0.52359877559829882</v>
      </c>
    </row>
    <row r="616" spans="1:15" x14ac:dyDescent="0.45">
      <c r="A616">
        <v>2</v>
      </c>
      <c r="B616" t="s">
        <v>82</v>
      </c>
      <c r="C616" t="str">
        <f t="shared" si="22"/>
        <v>AR2</v>
      </c>
      <c r="E616" s="19">
        <v>45820</v>
      </c>
      <c r="H616" t="s">
        <v>75</v>
      </c>
      <c r="I616" t="s">
        <v>78</v>
      </c>
      <c r="K616" t="s">
        <v>79</v>
      </c>
      <c r="L616">
        <v>0.2</v>
      </c>
      <c r="M616">
        <f t="shared" si="23"/>
        <v>3.1415926535897934E-2</v>
      </c>
    </row>
    <row r="617" spans="1:15" x14ac:dyDescent="0.45">
      <c r="A617">
        <v>2</v>
      </c>
      <c r="B617" t="s">
        <v>82</v>
      </c>
      <c r="C617" t="str">
        <f t="shared" si="22"/>
        <v>AR2</v>
      </c>
      <c r="E617" s="19">
        <v>45820</v>
      </c>
      <c r="H617" t="s">
        <v>75</v>
      </c>
      <c r="I617" t="s">
        <v>78</v>
      </c>
      <c r="K617" t="s">
        <v>79</v>
      </c>
      <c r="L617">
        <v>0.2</v>
      </c>
      <c r="M617">
        <f t="shared" si="23"/>
        <v>3.1415926535897934E-2</v>
      </c>
    </row>
    <row r="618" spans="1:15" x14ac:dyDescent="0.45">
      <c r="A618">
        <v>2</v>
      </c>
      <c r="B618" t="s">
        <v>82</v>
      </c>
      <c r="C618" t="str">
        <f t="shared" si="22"/>
        <v>AR2</v>
      </c>
      <c r="E618" s="19">
        <v>45820</v>
      </c>
      <c r="H618" t="s">
        <v>75</v>
      </c>
      <c r="I618" t="s">
        <v>78</v>
      </c>
      <c r="K618" t="s">
        <v>79</v>
      </c>
      <c r="L618">
        <v>0.1</v>
      </c>
      <c r="M618">
        <f t="shared" si="23"/>
        <v>7.8539816339744835E-3</v>
      </c>
    </row>
    <row r="619" spans="1:15" x14ac:dyDescent="0.45">
      <c r="A619">
        <v>2</v>
      </c>
      <c r="B619" t="s">
        <v>82</v>
      </c>
      <c r="C619" t="str">
        <f t="shared" si="22"/>
        <v>AR2</v>
      </c>
      <c r="E619" s="19">
        <v>45820</v>
      </c>
      <c r="G619" t="s">
        <v>106</v>
      </c>
      <c r="H619" t="s">
        <v>75</v>
      </c>
      <c r="I619" t="s">
        <v>80</v>
      </c>
      <c r="K619" t="s">
        <v>79</v>
      </c>
      <c r="L619">
        <v>2</v>
      </c>
      <c r="M619">
        <f t="shared" si="23"/>
        <v>3.1415926535897931</v>
      </c>
    </row>
    <row r="620" spans="1:15" x14ac:dyDescent="0.45">
      <c r="A620">
        <v>2</v>
      </c>
      <c r="B620" t="s">
        <v>82</v>
      </c>
      <c r="C620" t="str">
        <f t="shared" si="22"/>
        <v>AR2</v>
      </c>
      <c r="E620" s="19">
        <v>45820</v>
      </c>
      <c r="H620" t="s">
        <v>75</v>
      </c>
      <c r="I620" t="s">
        <v>80</v>
      </c>
      <c r="K620" t="s">
        <v>79</v>
      </c>
      <c r="L620">
        <v>1</v>
      </c>
      <c r="M620">
        <f t="shared" si="23"/>
        <v>0.78539816339744828</v>
      </c>
    </row>
    <row r="621" spans="1:15" x14ac:dyDescent="0.45">
      <c r="A621">
        <v>2</v>
      </c>
      <c r="B621" t="s">
        <v>82</v>
      </c>
      <c r="C621" t="str">
        <f t="shared" si="22"/>
        <v>AR2</v>
      </c>
      <c r="E621" s="19">
        <v>45820</v>
      </c>
      <c r="H621" t="s">
        <v>75</v>
      </c>
      <c r="I621" t="s">
        <v>80</v>
      </c>
      <c r="K621" t="s">
        <v>79</v>
      </c>
      <c r="L621">
        <v>0.6</v>
      </c>
      <c r="M621">
        <f t="shared" si="23"/>
        <v>0.28274333882308139</v>
      </c>
    </row>
    <row r="622" spans="1:15" x14ac:dyDescent="0.45">
      <c r="A622">
        <v>2</v>
      </c>
      <c r="B622" t="s">
        <v>82</v>
      </c>
      <c r="C622" t="str">
        <f t="shared" si="22"/>
        <v>AR2</v>
      </c>
      <c r="E622" s="19">
        <v>45820</v>
      </c>
      <c r="H622" t="s">
        <v>75</v>
      </c>
      <c r="I622" t="s">
        <v>80</v>
      </c>
      <c r="K622" t="s">
        <v>79</v>
      </c>
      <c r="L622">
        <v>0.3</v>
      </c>
      <c r="M622">
        <f t="shared" si="23"/>
        <v>7.0685834705770348E-2</v>
      </c>
    </row>
    <row r="623" spans="1:15" x14ac:dyDescent="0.45">
      <c r="A623">
        <v>2</v>
      </c>
      <c r="B623" t="s">
        <v>82</v>
      </c>
      <c r="C623" t="str">
        <f t="shared" si="22"/>
        <v>AR2</v>
      </c>
      <c r="E623" s="19">
        <v>45820</v>
      </c>
      <c r="H623" t="s">
        <v>81</v>
      </c>
      <c r="I623" t="s">
        <v>76</v>
      </c>
      <c r="K623" t="s">
        <v>79</v>
      </c>
      <c r="L623">
        <v>0.2</v>
      </c>
      <c r="M623">
        <f t="shared" si="23"/>
        <v>3.1415926535897934E-2</v>
      </c>
    </row>
    <row r="624" spans="1:15" x14ac:dyDescent="0.45">
      <c r="A624">
        <v>2</v>
      </c>
      <c r="B624" t="s">
        <v>82</v>
      </c>
      <c r="C624" t="str">
        <f t="shared" si="22"/>
        <v>AR2</v>
      </c>
      <c r="E624" s="19">
        <v>45820</v>
      </c>
      <c r="H624" t="s">
        <v>81</v>
      </c>
      <c r="I624" t="s">
        <v>76</v>
      </c>
      <c r="K624" t="s">
        <v>79</v>
      </c>
      <c r="L624">
        <v>0.2</v>
      </c>
      <c r="M624">
        <f t="shared" si="23"/>
        <v>3.1415926535897934E-2</v>
      </c>
    </row>
    <row r="625" spans="1:15" x14ac:dyDescent="0.45">
      <c r="A625">
        <v>2</v>
      </c>
      <c r="B625" t="s">
        <v>82</v>
      </c>
      <c r="C625" t="str">
        <f t="shared" si="22"/>
        <v>AR2</v>
      </c>
      <c r="E625" s="19">
        <v>45820</v>
      </c>
      <c r="H625" t="s">
        <v>81</v>
      </c>
      <c r="I625" t="s">
        <v>76</v>
      </c>
      <c r="K625" t="s">
        <v>79</v>
      </c>
      <c r="L625">
        <v>0.6</v>
      </c>
      <c r="M625">
        <f t="shared" si="23"/>
        <v>0.28274333882308139</v>
      </c>
    </row>
    <row r="626" spans="1:15" x14ac:dyDescent="0.45">
      <c r="A626">
        <v>2</v>
      </c>
      <c r="B626" t="s">
        <v>82</v>
      </c>
      <c r="C626" t="str">
        <f t="shared" si="22"/>
        <v>AR2</v>
      </c>
      <c r="E626" s="19">
        <v>45820</v>
      </c>
      <c r="H626" t="s">
        <v>81</v>
      </c>
      <c r="I626" t="s">
        <v>78</v>
      </c>
      <c r="K626" t="s">
        <v>79</v>
      </c>
      <c r="L626">
        <v>2.5</v>
      </c>
      <c r="M626">
        <f t="shared" si="23"/>
        <v>4.908738521234052</v>
      </c>
    </row>
    <row r="627" spans="1:15" x14ac:dyDescent="0.45">
      <c r="A627">
        <v>2</v>
      </c>
      <c r="B627" t="s">
        <v>82</v>
      </c>
      <c r="C627" t="str">
        <f t="shared" si="22"/>
        <v>AR2</v>
      </c>
      <c r="E627" s="19">
        <v>45820</v>
      </c>
      <c r="H627" t="s">
        <v>81</v>
      </c>
      <c r="I627" t="s">
        <v>78</v>
      </c>
      <c r="K627" t="s">
        <v>79</v>
      </c>
      <c r="L627">
        <v>2</v>
      </c>
      <c r="M627">
        <f t="shared" si="23"/>
        <v>3.1415926535897931</v>
      </c>
    </row>
    <row r="628" spans="1:15" x14ac:dyDescent="0.45">
      <c r="A628">
        <v>2</v>
      </c>
      <c r="B628" t="s">
        <v>82</v>
      </c>
      <c r="C628" t="str">
        <f t="shared" si="22"/>
        <v>AR2</v>
      </c>
      <c r="E628" s="19">
        <v>45820</v>
      </c>
      <c r="H628" t="s">
        <v>81</v>
      </c>
      <c r="I628" t="s">
        <v>78</v>
      </c>
      <c r="K628" t="s">
        <v>79</v>
      </c>
      <c r="L628">
        <v>1</v>
      </c>
      <c r="M628">
        <f t="shared" si="23"/>
        <v>0.78539816339744828</v>
      </c>
    </row>
    <row r="629" spans="1:15" x14ac:dyDescent="0.45">
      <c r="A629">
        <v>2</v>
      </c>
      <c r="B629" t="s">
        <v>82</v>
      </c>
      <c r="C629" t="str">
        <f t="shared" ref="C629:C692" si="24">"A" &amp; UPPER(LEFT(B629,1)) &amp; A629</f>
        <v>AR2</v>
      </c>
      <c r="E629" s="19">
        <v>45820</v>
      </c>
      <c r="H629" t="s">
        <v>81</v>
      </c>
      <c r="I629" t="s">
        <v>78</v>
      </c>
      <c r="K629" t="s">
        <v>79</v>
      </c>
      <c r="L629">
        <v>1.5</v>
      </c>
      <c r="M629">
        <f t="shared" si="23"/>
        <v>1.7671458676442586</v>
      </c>
    </row>
    <row r="630" spans="1:15" x14ac:dyDescent="0.45">
      <c r="A630">
        <v>2</v>
      </c>
      <c r="B630" t="s">
        <v>82</v>
      </c>
      <c r="C630" t="str">
        <f t="shared" si="24"/>
        <v>AR2</v>
      </c>
      <c r="E630" s="19">
        <v>45820</v>
      </c>
      <c r="H630" t="s">
        <v>81</v>
      </c>
      <c r="I630" t="s">
        <v>78</v>
      </c>
      <c r="K630" t="s">
        <v>79</v>
      </c>
      <c r="L630">
        <v>0.2</v>
      </c>
      <c r="M630">
        <f t="shared" si="23"/>
        <v>3.1415926535897934E-2</v>
      </c>
    </row>
    <row r="631" spans="1:15" x14ac:dyDescent="0.45">
      <c r="A631">
        <v>2</v>
      </c>
      <c r="B631" t="s">
        <v>82</v>
      </c>
      <c r="C631" t="str">
        <f t="shared" si="24"/>
        <v>AR2</v>
      </c>
      <c r="E631" s="19">
        <v>45820</v>
      </c>
      <c r="H631" t="s">
        <v>81</v>
      </c>
      <c r="I631" t="s">
        <v>78</v>
      </c>
      <c r="K631" t="s">
        <v>79</v>
      </c>
      <c r="L631">
        <v>0.2</v>
      </c>
      <c r="M631">
        <f t="shared" si="23"/>
        <v>3.1415926535897934E-2</v>
      </c>
    </row>
    <row r="632" spans="1:15" x14ac:dyDescent="0.45">
      <c r="A632">
        <v>2</v>
      </c>
      <c r="B632" t="s">
        <v>82</v>
      </c>
      <c r="C632" t="str">
        <f t="shared" si="24"/>
        <v>AR2</v>
      </c>
      <c r="E632" s="19">
        <v>45820</v>
      </c>
      <c r="H632" t="s">
        <v>81</v>
      </c>
      <c r="I632" t="s">
        <v>78</v>
      </c>
      <c r="K632" t="s">
        <v>79</v>
      </c>
      <c r="L632">
        <v>0.2</v>
      </c>
      <c r="M632">
        <f t="shared" si="23"/>
        <v>3.1415926535897934E-2</v>
      </c>
    </row>
    <row r="633" spans="1:15" x14ac:dyDescent="0.45">
      <c r="A633">
        <v>2</v>
      </c>
      <c r="B633" t="s">
        <v>82</v>
      </c>
      <c r="C633" t="str">
        <f t="shared" si="24"/>
        <v>AR2</v>
      </c>
      <c r="E633" s="19">
        <v>45820</v>
      </c>
      <c r="H633" t="s">
        <v>107</v>
      </c>
      <c r="I633" t="s">
        <v>78</v>
      </c>
      <c r="K633" t="s">
        <v>77</v>
      </c>
      <c r="L633">
        <v>1.3</v>
      </c>
      <c r="M633">
        <f t="shared" si="23"/>
        <v>0.88488193076112509</v>
      </c>
    </row>
    <row r="634" spans="1:15" x14ac:dyDescent="0.45">
      <c r="A634">
        <v>2</v>
      </c>
      <c r="B634" t="s">
        <v>82</v>
      </c>
      <c r="C634" t="str">
        <f t="shared" si="24"/>
        <v>AR2</v>
      </c>
      <c r="E634" s="19">
        <v>45820</v>
      </c>
      <c r="H634" t="s">
        <v>81</v>
      </c>
      <c r="I634" t="s">
        <v>80</v>
      </c>
      <c r="K634" t="s">
        <v>79</v>
      </c>
      <c r="L634">
        <v>0.6</v>
      </c>
      <c r="M634">
        <f t="shared" si="23"/>
        <v>0.28274333882308139</v>
      </c>
      <c r="O634">
        <v>3</v>
      </c>
    </row>
    <row r="635" spans="1:15" x14ac:dyDescent="0.45">
      <c r="A635">
        <v>2</v>
      </c>
      <c r="B635" t="s">
        <v>82</v>
      </c>
      <c r="C635" t="str">
        <f t="shared" si="24"/>
        <v>AR2</v>
      </c>
      <c r="E635" s="19">
        <v>45820</v>
      </c>
      <c r="H635" t="s">
        <v>81</v>
      </c>
      <c r="I635" t="s">
        <v>80</v>
      </c>
      <c r="K635" t="s">
        <v>79</v>
      </c>
      <c r="L635">
        <v>0.4</v>
      </c>
      <c r="M635">
        <f t="shared" si="23"/>
        <v>0.12566370614359174</v>
      </c>
    </row>
    <row r="636" spans="1:15" x14ac:dyDescent="0.45">
      <c r="A636">
        <v>2</v>
      </c>
      <c r="B636" t="s">
        <v>82</v>
      </c>
      <c r="C636" t="str">
        <f t="shared" si="24"/>
        <v>AR2</v>
      </c>
      <c r="E636" s="19">
        <v>45820</v>
      </c>
      <c r="H636" t="s">
        <v>81</v>
      </c>
      <c r="I636" t="s">
        <v>80</v>
      </c>
      <c r="K636" t="s">
        <v>79</v>
      </c>
      <c r="L636">
        <v>0.8</v>
      </c>
      <c r="M636">
        <f t="shared" si="23"/>
        <v>0.50265482457436694</v>
      </c>
    </row>
    <row r="637" spans="1:15" x14ac:dyDescent="0.45">
      <c r="A637">
        <v>3</v>
      </c>
      <c r="B637" t="s">
        <v>74</v>
      </c>
      <c r="C637" t="str">
        <f t="shared" si="24"/>
        <v>AW3</v>
      </c>
      <c r="E637" s="19">
        <v>45820</v>
      </c>
      <c r="H637" t="s">
        <v>75</v>
      </c>
      <c r="I637" t="s">
        <v>76</v>
      </c>
      <c r="K637" t="s">
        <v>79</v>
      </c>
      <c r="L637">
        <v>0.1</v>
      </c>
      <c r="M637">
        <f t="shared" si="23"/>
        <v>7.8539816339744835E-3</v>
      </c>
    </row>
    <row r="638" spans="1:15" x14ac:dyDescent="0.45">
      <c r="A638">
        <v>3</v>
      </c>
      <c r="B638" t="s">
        <v>74</v>
      </c>
      <c r="C638" t="str">
        <f t="shared" si="24"/>
        <v>AW3</v>
      </c>
      <c r="E638" s="19">
        <v>45820</v>
      </c>
      <c r="H638" t="s">
        <v>75</v>
      </c>
      <c r="I638" t="s">
        <v>76</v>
      </c>
      <c r="K638" t="s">
        <v>79</v>
      </c>
      <c r="L638">
        <v>0.1</v>
      </c>
      <c r="M638">
        <f t="shared" si="23"/>
        <v>7.8539816339744835E-3</v>
      </c>
      <c r="O638">
        <v>1</v>
      </c>
    </row>
    <row r="639" spans="1:15" x14ac:dyDescent="0.45">
      <c r="A639">
        <v>3</v>
      </c>
      <c r="B639" t="s">
        <v>74</v>
      </c>
      <c r="C639" t="str">
        <f t="shared" si="24"/>
        <v>AW3</v>
      </c>
      <c r="E639" s="19">
        <v>45820</v>
      </c>
      <c r="H639" t="s">
        <v>75</v>
      </c>
      <c r="I639" t="s">
        <v>78</v>
      </c>
      <c r="K639" t="s">
        <v>79</v>
      </c>
      <c r="L639">
        <v>1</v>
      </c>
      <c r="M639">
        <f t="shared" si="23"/>
        <v>0.78539816339744828</v>
      </c>
      <c r="O639">
        <v>1</v>
      </c>
    </row>
    <row r="640" spans="1:15" x14ac:dyDescent="0.45">
      <c r="A640">
        <v>3</v>
      </c>
      <c r="B640" t="s">
        <v>74</v>
      </c>
      <c r="C640" t="str">
        <f t="shared" si="24"/>
        <v>AW3</v>
      </c>
      <c r="E640" s="19">
        <v>45820</v>
      </c>
      <c r="H640" t="s">
        <v>75</v>
      </c>
      <c r="I640" t="s">
        <v>80</v>
      </c>
      <c r="K640" t="s">
        <v>79</v>
      </c>
      <c r="L640">
        <v>1.5</v>
      </c>
      <c r="M640">
        <f t="shared" si="23"/>
        <v>1.7671458676442586</v>
      </c>
      <c r="O640">
        <v>1</v>
      </c>
    </row>
    <row r="641" spans="1:15" x14ac:dyDescent="0.45">
      <c r="A641">
        <v>3</v>
      </c>
      <c r="B641" t="s">
        <v>74</v>
      </c>
      <c r="C641" t="str">
        <f t="shared" si="24"/>
        <v>AW3</v>
      </c>
      <c r="E641" s="19">
        <v>45820</v>
      </c>
      <c r="H641" t="s">
        <v>81</v>
      </c>
      <c r="I641" t="s">
        <v>76</v>
      </c>
      <c r="M641" t="str">
        <f t="shared" si="23"/>
        <v/>
      </c>
      <c r="O641">
        <v>1</v>
      </c>
    </row>
    <row r="642" spans="1:15" x14ac:dyDescent="0.45">
      <c r="A642">
        <v>3</v>
      </c>
      <c r="B642" t="s">
        <v>74</v>
      </c>
      <c r="C642" t="str">
        <f t="shared" si="24"/>
        <v>AW3</v>
      </c>
      <c r="E642" s="19">
        <v>45820</v>
      </c>
      <c r="H642" t="s">
        <v>81</v>
      </c>
      <c r="I642" t="s">
        <v>78</v>
      </c>
      <c r="K642" t="s">
        <v>77</v>
      </c>
      <c r="L642">
        <v>1.5</v>
      </c>
      <c r="M642">
        <f t="shared" si="23"/>
        <v>1.1780972450961724</v>
      </c>
    </row>
    <row r="643" spans="1:15" x14ac:dyDescent="0.45">
      <c r="A643">
        <v>3</v>
      </c>
      <c r="B643" t="s">
        <v>74</v>
      </c>
      <c r="C643" t="str">
        <f t="shared" si="24"/>
        <v>AW3</v>
      </c>
      <c r="E643" s="19">
        <v>45820</v>
      </c>
      <c r="H643" t="s">
        <v>81</v>
      </c>
      <c r="I643" t="s">
        <v>78</v>
      </c>
      <c r="K643" t="s">
        <v>77</v>
      </c>
      <c r="L643">
        <v>1.2</v>
      </c>
      <c r="M643">
        <f t="shared" si="23"/>
        <v>0.7539822368615503</v>
      </c>
    </row>
    <row r="644" spans="1:15" x14ac:dyDescent="0.45">
      <c r="A644">
        <v>3</v>
      </c>
      <c r="B644" t="s">
        <v>74</v>
      </c>
      <c r="C644" t="str">
        <f t="shared" si="24"/>
        <v>AW3</v>
      </c>
      <c r="E644" s="19">
        <v>45820</v>
      </c>
      <c r="H644" t="s">
        <v>81</v>
      </c>
      <c r="I644" t="s">
        <v>78</v>
      </c>
      <c r="K644" t="s">
        <v>79</v>
      </c>
      <c r="L644">
        <v>0.3</v>
      </c>
      <c r="M644">
        <f t="shared" si="23"/>
        <v>7.0685834705770348E-2</v>
      </c>
    </row>
    <row r="645" spans="1:15" x14ac:dyDescent="0.45">
      <c r="A645">
        <v>3</v>
      </c>
      <c r="B645" t="s">
        <v>74</v>
      </c>
      <c r="C645" t="str">
        <f t="shared" si="24"/>
        <v>AW3</v>
      </c>
      <c r="E645" s="19">
        <v>45820</v>
      </c>
      <c r="H645" t="s">
        <v>81</v>
      </c>
      <c r="I645" t="s">
        <v>78</v>
      </c>
      <c r="K645" t="s">
        <v>79</v>
      </c>
      <c r="L645">
        <v>0.3</v>
      </c>
      <c r="M645">
        <f t="shared" si="23"/>
        <v>7.0685834705770348E-2</v>
      </c>
    </row>
    <row r="646" spans="1:15" x14ac:dyDescent="0.45">
      <c r="A646">
        <v>3</v>
      </c>
      <c r="B646" t="s">
        <v>74</v>
      </c>
      <c r="C646" t="str">
        <f t="shared" si="24"/>
        <v>AW3</v>
      </c>
      <c r="E646" s="19">
        <v>45820</v>
      </c>
      <c r="H646" t="s">
        <v>81</v>
      </c>
      <c r="I646" t="s">
        <v>78</v>
      </c>
      <c r="K646" t="s">
        <v>79</v>
      </c>
      <c r="L646">
        <v>0.2</v>
      </c>
      <c r="M646">
        <f t="shared" si="23"/>
        <v>3.1415926535897934E-2</v>
      </c>
    </row>
    <row r="647" spans="1:15" x14ac:dyDescent="0.45">
      <c r="A647">
        <v>3</v>
      </c>
      <c r="B647" t="s">
        <v>74</v>
      </c>
      <c r="C647" t="str">
        <f t="shared" si="24"/>
        <v>AW3</v>
      </c>
      <c r="E647" s="19">
        <v>45820</v>
      </c>
      <c r="H647" t="s">
        <v>81</v>
      </c>
      <c r="I647" t="s">
        <v>80</v>
      </c>
      <c r="M647" t="str">
        <f t="shared" si="23"/>
        <v/>
      </c>
      <c r="O647">
        <v>3</v>
      </c>
    </row>
    <row r="648" spans="1:15" x14ac:dyDescent="0.45">
      <c r="A648">
        <v>4</v>
      </c>
      <c r="B648" t="s">
        <v>74</v>
      </c>
      <c r="C648" t="str">
        <f t="shared" si="24"/>
        <v>AW4</v>
      </c>
      <c r="E648" s="19">
        <v>45820</v>
      </c>
      <c r="G648" t="s">
        <v>108</v>
      </c>
      <c r="H648" t="s">
        <v>75</v>
      </c>
      <c r="I648" t="s">
        <v>76</v>
      </c>
      <c r="M648" t="str">
        <f t="shared" si="23"/>
        <v/>
      </c>
      <c r="O648">
        <v>4</v>
      </c>
    </row>
    <row r="649" spans="1:15" x14ac:dyDescent="0.45">
      <c r="A649">
        <v>4</v>
      </c>
      <c r="B649" t="s">
        <v>74</v>
      </c>
      <c r="C649" t="str">
        <f t="shared" si="24"/>
        <v>AW4</v>
      </c>
      <c r="E649" s="19">
        <v>45820</v>
      </c>
      <c r="H649" t="s">
        <v>81</v>
      </c>
      <c r="I649" t="s">
        <v>76</v>
      </c>
      <c r="K649" t="s">
        <v>79</v>
      </c>
      <c r="L649">
        <v>0.2</v>
      </c>
      <c r="M649">
        <f t="shared" si="23"/>
        <v>3.1415926535897934E-2</v>
      </c>
      <c r="O649">
        <v>4</v>
      </c>
    </row>
    <row r="650" spans="1:15" x14ac:dyDescent="0.45">
      <c r="A650">
        <v>4</v>
      </c>
      <c r="B650" t="s">
        <v>74</v>
      </c>
      <c r="C650" t="str">
        <f t="shared" si="24"/>
        <v>AW4</v>
      </c>
      <c r="E650" s="19">
        <v>45820</v>
      </c>
      <c r="H650" t="s">
        <v>81</v>
      </c>
      <c r="I650" t="s">
        <v>76</v>
      </c>
      <c r="K650" t="s">
        <v>79</v>
      </c>
      <c r="L650">
        <v>0.2</v>
      </c>
      <c r="M650">
        <f t="shared" si="23"/>
        <v>3.1415926535897934E-2</v>
      </c>
    </row>
    <row r="651" spans="1:15" x14ac:dyDescent="0.45">
      <c r="A651">
        <v>4</v>
      </c>
      <c r="B651" t="s">
        <v>74</v>
      </c>
      <c r="C651" t="str">
        <f t="shared" si="24"/>
        <v>AW4</v>
      </c>
      <c r="E651" s="19">
        <v>45820</v>
      </c>
      <c r="H651" t="s">
        <v>81</v>
      </c>
      <c r="I651" t="s">
        <v>76</v>
      </c>
      <c r="K651" t="s">
        <v>79</v>
      </c>
      <c r="L651">
        <v>0.2</v>
      </c>
      <c r="M651">
        <f t="shared" si="23"/>
        <v>3.1415926535897934E-2</v>
      </c>
    </row>
    <row r="652" spans="1:15" x14ac:dyDescent="0.45">
      <c r="A652">
        <v>4</v>
      </c>
      <c r="B652" t="s">
        <v>82</v>
      </c>
      <c r="C652" t="str">
        <f t="shared" si="24"/>
        <v>AR4</v>
      </c>
      <c r="E652" s="19">
        <v>45820</v>
      </c>
      <c r="G652" t="s">
        <v>104</v>
      </c>
    </row>
    <row r="653" spans="1:15" x14ac:dyDescent="0.45">
      <c r="A653">
        <v>5</v>
      </c>
      <c r="B653" t="s">
        <v>82</v>
      </c>
      <c r="C653" t="str">
        <f t="shared" si="24"/>
        <v>AR5</v>
      </c>
      <c r="E653" s="19">
        <v>45820</v>
      </c>
      <c r="H653" t="s">
        <v>75</v>
      </c>
      <c r="I653" t="s">
        <v>76</v>
      </c>
      <c r="M653" t="str">
        <f t="shared" ref="M653:M716" si="25">IF(OR(L653="na", L653=""), "", IF(K653="mm", PI()*(L653/2)^2, IF(K653="ep", PI()*(L653/2)*(L653*(2/3)/2), "")))</f>
        <v/>
      </c>
      <c r="O653">
        <v>1</v>
      </c>
    </row>
    <row r="654" spans="1:15" x14ac:dyDescent="0.45">
      <c r="A654">
        <v>5</v>
      </c>
      <c r="B654" t="s">
        <v>82</v>
      </c>
      <c r="C654" t="str">
        <f t="shared" si="24"/>
        <v>AR5</v>
      </c>
      <c r="E654" s="19">
        <v>45820</v>
      </c>
      <c r="H654" t="s">
        <v>75</v>
      </c>
      <c r="I654" t="s">
        <v>78</v>
      </c>
      <c r="L654">
        <v>4</v>
      </c>
      <c r="M654" t="str">
        <f t="shared" si="25"/>
        <v/>
      </c>
      <c r="N654">
        <v>2</v>
      </c>
      <c r="O654">
        <v>1</v>
      </c>
    </row>
    <row r="655" spans="1:15" x14ac:dyDescent="0.45">
      <c r="A655">
        <v>5</v>
      </c>
      <c r="B655" t="s">
        <v>82</v>
      </c>
      <c r="C655" t="str">
        <f t="shared" si="24"/>
        <v>AR5</v>
      </c>
      <c r="E655" s="19">
        <v>45820</v>
      </c>
      <c r="H655" t="s">
        <v>75</v>
      </c>
      <c r="I655" t="s">
        <v>78</v>
      </c>
      <c r="L655">
        <v>4</v>
      </c>
      <c r="M655" t="str">
        <f t="shared" si="25"/>
        <v/>
      </c>
    </row>
    <row r="656" spans="1:15" x14ac:dyDescent="0.45">
      <c r="A656">
        <v>5</v>
      </c>
      <c r="B656" t="s">
        <v>82</v>
      </c>
      <c r="C656" t="str">
        <f t="shared" si="24"/>
        <v>AR5</v>
      </c>
      <c r="E656" s="19">
        <v>45820</v>
      </c>
      <c r="H656" t="s">
        <v>75</v>
      </c>
      <c r="I656" t="s">
        <v>78</v>
      </c>
      <c r="L656">
        <v>4</v>
      </c>
      <c r="M656" t="str">
        <f t="shared" si="25"/>
        <v/>
      </c>
    </row>
    <row r="657" spans="1:16" x14ac:dyDescent="0.45">
      <c r="A657">
        <v>5</v>
      </c>
      <c r="B657" t="s">
        <v>82</v>
      </c>
      <c r="C657" t="str">
        <f t="shared" si="24"/>
        <v>AR5</v>
      </c>
      <c r="E657" s="19">
        <v>45820</v>
      </c>
      <c r="H657" t="s">
        <v>75</v>
      </c>
      <c r="I657" t="s">
        <v>78</v>
      </c>
      <c r="L657">
        <v>2</v>
      </c>
      <c r="M657" t="str">
        <f t="shared" si="25"/>
        <v/>
      </c>
    </row>
    <row r="658" spans="1:16" x14ac:dyDescent="0.45">
      <c r="A658">
        <v>5</v>
      </c>
      <c r="B658" t="s">
        <v>82</v>
      </c>
      <c r="C658" t="str">
        <f t="shared" si="24"/>
        <v>AR5</v>
      </c>
      <c r="E658" s="19">
        <v>45820</v>
      </c>
      <c r="H658" t="s">
        <v>75</v>
      </c>
      <c r="I658" t="s">
        <v>78</v>
      </c>
      <c r="L658">
        <v>1</v>
      </c>
      <c r="M658" t="str">
        <f t="shared" si="25"/>
        <v/>
      </c>
    </row>
    <row r="659" spans="1:16" x14ac:dyDescent="0.45">
      <c r="A659">
        <v>5</v>
      </c>
      <c r="B659" t="s">
        <v>82</v>
      </c>
      <c r="C659" t="str">
        <f t="shared" si="24"/>
        <v>AR5</v>
      </c>
      <c r="E659" s="19">
        <v>45820</v>
      </c>
      <c r="H659" t="s">
        <v>75</v>
      </c>
      <c r="I659" t="s">
        <v>78</v>
      </c>
      <c r="L659">
        <v>4</v>
      </c>
      <c r="M659" t="str">
        <f t="shared" si="25"/>
        <v/>
      </c>
    </row>
    <row r="660" spans="1:16" x14ac:dyDescent="0.45">
      <c r="A660">
        <v>5</v>
      </c>
      <c r="B660" t="s">
        <v>82</v>
      </c>
      <c r="C660" t="str">
        <f t="shared" si="24"/>
        <v>AR5</v>
      </c>
      <c r="E660" s="19">
        <v>45820</v>
      </c>
      <c r="H660" t="s">
        <v>75</v>
      </c>
      <c r="I660" t="s">
        <v>80</v>
      </c>
      <c r="M660" t="str">
        <f t="shared" si="25"/>
        <v/>
      </c>
    </row>
    <row r="661" spans="1:16" x14ac:dyDescent="0.45">
      <c r="A661">
        <v>5</v>
      </c>
      <c r="B661" t="s">
        <v>82</v>
      </c>
      <c r="C661" t="str">
        <f t="shared" si="24"/>
        <v>AR5</v>
      </c>
      <c r="E661" s="19">
        <v>45820</v>
      </c>
      <c r="H661" t="s">
        <v>81</v>
      </c>
      <c r="I661" t="s">
        <v>76</v>
      </c>
      <c r="M661" t="str">
        <f t="shared" si="25"/>
        <v/>
      </c>
    </row>
    <row r="662" spans="1:16" x14ac:dyDescent="0.45">
      <c r="A662">
        <v>5</v>
      </c>
      <c r="B662" t="s">
        <v>82</v>
      </c>
      <c r="C662" t="str">
        <f t="shared" si="24"/>
        <v>AR5</v>
      </c>
      <c r="E662" s="19">
        <v>45820</v>
      </c>
      <c r="H662" t="s">
        <v>81</v>
      </c>
      <c r="I662" t="s">
        <v>78</v>
      </c>
      <c r="K662" t="s">
        <v>79</v>
      </c>
      <c r="L662">
        <v>0.3</v>
      </c>
      <c r="M662">
        <f t="shared" si="25"/>
        <v>7.0685834705770348E-2</v>
      </c>
    </row>
    <row r="663" spans="1:16" x14ac:dyDescent="0.45">
      <c r="A663">
        <v>5</v>
      </c>
      <c r="B663" t="s">
        <v>82</v>
      </c>
      <c r="C663" t="str">
        <f t="shared" si="24"/>
        <v>AR5</v>
      </c>
      <c r="E663" s="19">
        <v>45820</v>
      </c>
      <c r="H663" t="s">
        <v>81</v>
      </c>
      <c r="I663" t="s">
        <v>78</v>
      </c>
      <c r="K663" t="s">
        <v>79</v>
      </c>
      <c r="L663">
        <v>0.2</v>
      </c>
      <c r="M663">
        <f t="shared" si="25"/>
        <v>3.1415926535897934E-2</v>
      </c>
    </row>
    <row r="664" spans="1:16" x14ac:dyDescent="0.45">
      <c r="A664">
        <v>5</v>
      </c>
      <c r="B664" t="s">
        <v>82</v>
      </c>
      <c r="C664" t="str">
        <f t="shared" si="24"/>
        <v>AR5</v>
      </c>
      <c r="E664" s="19">
        <v>45820</v>
      </c>
      <c r="H664" t="s">
        <v>81</v>
      </c>
      <c r="I664" t="s">
        <v>78</v>
      </c>
      <c r="K664" t="s">
        <v>77</v>
      </c>
      <c r="L664">
        <v>1</v>
      </c>
      <c r="M664">
        <f t="shared" si="25"/>
        <v>0.52359877559829882</v>
      </c>
    </row>
    <row r="665" spans="1:16" x14ac:dyDescent="0.45">
      <c r="A665">
        <v>5</v>
      </c>
      <c r="B665" t="s">
        <v>82</v>
      </c>
      <c r="C665" t="str">
        <f t="shared" si="24"/>
        <v>AR5</v>
      </c>
      <c r="E665" s="19">
        <v>45820</v>
      </c>
      <c r="H665" t="s">
        <v>81</v>
      </c>
      <c r="I665" t="s">
        <v>80</v>
      </c>
      <c r="K665" t="s">
        <v>77</v>
      </c>
      <c r="L665">
        <v>3</v>
      </c>
      <c r="M665">
        <f t="shared" si="25"/>
        <v>4.7123889803846897</v>
      </c>
      <c r="N665">
        <v>4</v>
      </c>
      <c r="O665">
        <v>1</v>
      </c>
    </row>
    <row r="666" spans="1:16" x14ac:dyDescent="0.45">
      <c r="A666">
        <v>6</v>
      </c>
      <c r="B666" t="s">
        <v>82</v>
      </c>
      <c r="C666" t="str">
        <f t="shared" si="24"/>
        <v>AR6</v>
      </c>
      <c r="E666" s="19">
        <v>45820</v>
      </c>
      <c r="H666" t="s">
        <v>75</v>
      </c>
      <c r="I666" t="s">
        <v>76</v>
      </c>
      <c r="M666" t="str">
        <f t="shared" si="25"/>
        <v/>
      </c>
    </row>
    <row r="667" spans="1:16" x14ac:dyDescent="0.45">
      <c r="A667">
        <v>6</v>
      </c>
      <c r="B667" t="s">
        <v>82</v>
      </c>
      <c r="C667" t="str">
        <f t="shared" si="24"/>
        <v>AR6</v>
      </c>
      <c r="E667" s="19">
        <v>45820</v>
      </c>
      <c r="H667" t="s">
        <v>75</v>
      </c>
      <c r="I667" t="s">
        <v>78</v>
      </c>
      <c r="K667" t="s">
        <v>79</v>
      </c>
      <c r="L667">
        <v>1.8</v>
      </c>
      <c r="M667">
        <f t="shared" si="25"/>
        <v>2.5446900494077327</v>
      </c>
      <c r="O667">
        <v>4</v>
      </c>
    </row>
    <row r="668" spans="1:16" x14ac:dyDescent="0.45">
      <c r="A668">
        <v>6</v>
      </c>
      <c r="B668" t="s">
        <v>82</v>
      </c>
      <c r="C668" t="str">
        <f t="shared" si="24"/>
        <v>AR6</v>
      </c>
      <c r="E668" s="19">
        <v>45820</v>
      </c>
      <c r="H668" t="s">
        <v>75</v>
      </c>
      <c r="I668" t="s">
        <v>78</v>
      </c>
      <c r="K668" t="s">
        <v>79</v>
      </c>
      <c r="L668">
        <v>0.1</v>
      </c>
      <c r="M668">
        <f t="shared" si="25"/>
        <v>7.8539816339744835E-3</v>
      </c>
    </row>
    <row r="669" spans="1:16" x14ac:dyDescent="0.45">
      <c r="A669">
        <v>6</v>
      </c>
      <c r="B669" t="s">
        <v>82</v>
      </c>
      <c r="C669" t="str">
        <f t="shared" si="24"/>
        <v>AR6</v>
      </c>
      <c r="E669" s="19">
        <v>45820</v>
      </c>
      <c r="H669" t="s">
        <v>75</v>
      </c>
      <c r="I669" t="s">
        <v>78</v>
      </c>
      <c r="K669" t="s">
        <v>79</v>
      </c>
      <c r="L669">
        <v>0.1</v>
      </c>
      <c r="M669">
        <f t="shared" si="25"/>
        <v>7.8539816339744835E-3</v>
      </c>
    </row>
    <row r="670" spans="1:16" x14ac:dyDescent="0.45">
      <c r="A670">
        <v>6</v>
      </c>
      <c r="B670" t="s">
        <v>82</v>
      </c>
      <c r="C670" t="str">
        <f t="shared" si="24"/>
        <v>AR6</v>
      </c>
      <c r="E670" s="19">
        <v>45820</v>
      </c>
      <c r="H670" t="s">
        <v>75</v>
      </c>
      <c r="I670" t="s">
        <v>78</v>
      </c>
      <c r="K670" t="s">
        <v>79</v>
      </c>
      <c r="L670">
        <v>0.2</v>
      </c>
      <c r="M670">
        <f t="shared" si="25"/>
        <v>3.1415926535897934E-2</v>
      </c>
    </row>
    <row r="671" spans="1:16" x14ac:dyDescent="0.45">
      <c r="A671">
        <v>6</v>
      </c>
      <c r="B671" t="s">
        <v>82</v>
      </c>
      <c r="C671" t="str">
        <f t="shared" si="24"/>
        <v>AR6</v>
      </c>
      <c r="E671" s="19">
        <v>45820</v>
      </c>
      <c r="H671" t="s">
        <v>75</v>
      </c>
      <c r="I671" t="s">
        <v>78</v>
      </c>
      <c r="K671" t="s">
        <v>79</v>
      </c>
      <c r="L671">
        <v>0.1</v>
      </c>
      <c r="M671">
        <f t="shared" si="25"/>
        <v>7.8539816339744835E-3</v>
      </c>
    </row>
    <row r="672" spans="1:16" x14ac:dyDescent="0.45">
      <c r="A672">
        <v>6</v>
      </c>
      <c r="B672" t="s">
        <v>82</v>
      </c>
      <c r="C672" t="str">
        <f t="shared" si="24"/>
        <v>AR6</v>
      </c>
      <c r="E672" s="19">
        <v>45820</v>
      </c>
      <c r="H672" t="s">
        <v>75</v>
      </c>
      <c r="I672" t="s">
        <v>80</v>
      </c>
      <c r="K672" t="s">
        <v>79</v>
      </c>
      <c r="L672">
        <v>0.5</v>
      </c>
      <c r="M672">
        <f t="shared" si="25"/>
        <v>0.19634954084936207</v>
      </c>
      <c r="N672">
        <v>1</v>
      </c>
      <c r="P672">
        <v>1</v>
      </c>
    </row>
    <row r="673" spans="1:15" x14ac:dyDescent="0.45">
      <c r="A673">
        <v>6</v>
      </c>
      <c r="B673" t="s">
        <v>82</v>
      </c>
      <c r="C673" t="str">
        <f t="shared" si="24"/>
        <v>AR6</v>
      </c>
      <c r="E673" s="19">
        <v>45820</v>
      </c>
      <c r="H673" t="s">
        <v>81</v>
      </c>
      <c r="I673" t="s">
        <v>76</v>
      </c>
      <c r="K673" t="s">
        <v>79</v>
      </c>
      <c r="L673">
        <v>0.2</v>
      </c>
      <c r="M673">
        <f t="shared" si="25"/>
        <v>3.1415926535897934E-2</v>
      </c>
      <c r="O673">
        <v>2</v>
      </c>
    </row>
    <row r="674" spans="1:15" x14ac:dyDescent="0.45">
      <c r="A674">
        <v>6</v>
      </c>
      <c r="B674" t="s">
        <v>82</v>
      </c>
      <c r="C674" t="str">
        <f t="shared" si="24"/>
        <v>AR6</v>
      </c>
      <c r="E674" s="19">
        <v>45820</v>
      </c>
      <c r="H674" t="s">
        <v>81</v>
      </c>
      <c r="I674" t="s">
        <v>76</v>
      </c>
      <c r="K674" t="s">
        <v>79</v>
      </c>
      <c r="L674">
        <v>0.2</v>
      </c>
      <c r="M674">
        <f t="shared" si="25"/>
        <v>3.1415926535897934E-2</v>
      </c>
    </row>
    <row r="675" spans="1:15" x14ac:dyDescent="0.45">
      <c r="A675">
        <v>6</v>
      </c>
      <c r="B675" t="s">
        <v>82</v>
      </c>
      <c r="C675" t="str">
        <f t="shared" si="24"/>
        <v>AR6</v>
      </c>
      <c r="E675" s="19">
        <v>45820</v>
      </c>
      <c r="H675" t="s">
        <v>81</v>
      </c>
      <c r="I675" t="s">
        <v>78</v>
      </c>
      <c r="K675" t="s">
        <v>77</v>
      </c>
      <c r="L675">
        <v>1</v>
      </c>
      <c r="M675">
        <f t="shared" si="25"/>
        <v>0.52359877559829882</v>
      </c>
      <c r="O675">
        <v>1</v>
      </c>
    </row>
    <row r="676" spans="1:15" x14ac:dyDescent="0.45">
      <c r="A676">
        <v>6</v>
      </c>
      <c r="B676" t="s">
        <v>82</v>
      </c>
      <c r="C676" t="str">
        <f t="shared" si="24"/>
        <v>AR6</v>
      </c>
      <c r="E676" s="19">
        <v>45820</v>
      </c>
      <c r="H676" t="s">
        <v>81</v>
      </c>
      <c r="I676" t="s">
        <v>78</v>
      </c>
      <c r="K676" t="s">
        <v>79</v>
      </c>
      <c r="L676">
        <v>0.3</v>
      </c>
      <c r="M676">
        <f t="shared" si="25"/>
        <v>7.0685834705770348E-2</v>
      </c>
    </row>
    <row r="677" spans="1:15" x14ac:dyDescent="0.45">
      <c r="A677">
        <v>6</v>
      </c>
      <c r="B677" t="s">
        <v>82</v>
      </c>
      <c r="C677" t="str">
        <f t="shared" si="24"/>
        <v>AR6</v>
      </c>
      <c r="E677" s="19">
        <v>45820</v>
      </c>
      <c r="H677" t="s">
        <v>81</v>
      </c>
      <c r="I677" t="s">
        <v>80</v>
      </c>
      <c r="K677" t="s">
        <v>79</v>
      </c>
      <c r="L677">
        <v>0.5</v>
      </c>
      <c r="M677">
        <f t="shared" si="25"/>
        <v>0.19634954084936207</v>
      </c>
    </row>
    <row r="678" spans="1:15" x14ac:dyDescent="0.45">
      <c r="A678">
        <v>6</v>
      </c>
      <c r="B678" t="s">
        <v>74</v>
      </c>
      <c r="C678" t="str">
        <f t="shared" si="24"/>
        <v>AW6</v>
      </c>
      <c r="E678" s="19">
        <v>45820</v>
      </c>
      <c r="H678" t="s">
        <v>75</v>
      </c>
      <c r="I678" t="s">
        <v>76</v>
      </c>
      <c r="M678" t="str">
        <f t="shared" si="25"/>
        <v/>
      </c>
      <c r="O678">
        <v>5</v>
      </c>
    </row>
    <row r="679" spans="1:15" x14ac:dyDescent="0.45">
      <c r="A679">
        <v>6</v>
      </c>
      <c r="B679" t="s">
        <v>74</v>
      </c>
      <c r="C679" t="str">
        <f t="shared" si="24"/>
        <v>AW6</v>
      </c>
      <c r="E679" s="19">
        <v>45820</v>
      </c>
      <c r="H679" t="s">
        <v>75</v>
      </c>
      <c r="I679" t="s">
        <v>78</v>
      </c>
      <c r="K679" t="s">
        <v>79</v>
      </c>
      <c r="L679">
        <v>1.5</v>
      </c>
      <c r="M679">
        <f t="shared" si="25"/>
        <v>1.7671458676442586</v>
      </c>
      <c r="N679">
        <v>1</v>
      </c>
      <c r="O679">
        <v>5</v>
      </c>
    </row>
    <row r="680" spans="1:15" x14ac:dyDescent="0.45">
      <c r="A680">
        <v>6</v>
      </c>
      <c r="B680" t="s">
        <v>74</v>
      </c>
      <c r="C680" t="str">
        <f t="shared" si="24"/>
        <v>AW6</v>
      </c>
      <c r="E680" s="19">
        <v>45820</v>
      </c>
      <c r="H680" t="s">
        <v>75</v>
      </c>
      <c r="I680" t="s">
        <v>80</v>
      </c>
      <c r="K680" t="s">
        <v>79</v>
      </c>
      <c r="L680">
        <v>0.4</v>
      </c>
      <c r="M680">
        <f t="shared" si="25"/>
        <v>0.12566370614359174</v>
      </c>
      <c r="N680">
        <v>3</v>
      </c>
      <c r="O680">
        <v>1</v>
      </c>
    </row>
    <row r="681" spans="1:15" x14ac:dyDescent="0.45">
      <c r="A681">
        <v>6</v>
      </c>
      <c r="B681" t="s">
        <v>74</v>
      </c>
      <c r="C681" t="str">
        <f t="shared" si="24"/>
        <v>AW6</v>
      </c>
      <c r="E681" s="19">
        <v>45820</v>
      </c>
      <c r="H681" t="s">
        <v>75</v>
      </c>
      <c r="I681" t="s">
        <v>80</v>
      </c>
      <c r="K681" t="s">
        <v>79</v>
      </c>
      <c r="L681">
        <v>0.4</v>
      </c>
      <c r="M681">
        <f t="shared" si="25"/>
        <v>0.12566370614359174</v>
      </c>
    </row>
    <row r="682" spans="1:15" x14ac:dyDescent="0.45">
      <c r="A682">
        <v>6</v>
      </c>
      <c r="B682" t="s">
        <v>74</v>
      </c>
      <c r="C682" t="str">
        <f t="shared" si="24"/>
        <v>AW6</v>
      </c>
      <c r="E682" s="19">
        <v>45820</v>
      </c>
      <c r="H682" t="s">
        <v>75</v>
      </c>
      <c r="I682" t="s">
        <v>80</v>
      </c>
      <c r="K682" t="s">
        <v>79</v>
      </c>
      <c r="L682">
        <v>0.2</v>
      </c>
      <c r="M682">
        <f t="shared" si="25"/>
        <v>3.1415926535897934E-2</v>
      </c>
    </row>
    <row r="683" spans="1:15" x14ac:dyDescent="0.45">
      <c r="A683">
        <v>6</v>
      </c>
      <c r="B683" t="s">
        <v>74</v>
      </c>
      <c r="C683" t="str">
        <f t="shared" si="24"/>
        <v>AW6</v>
      </c>
      <c r="E683" s="19">
        <v>45820</v>
      </c>
      <c r="H683" t="s">
        <v>81</v>
      </c>
      <c r="I683" t="s">
        <v>76</v>
      </c>
      <c r="M683" t="str">
        <f t="shared" si="25"/>
        <v/>
      </c>
      <c r="N683">
        <v>1</v>
      </c>
      <c r="O683">
        <v>3</v>
      </c>
    </row>
    <row r="684" spans="1:15" x14ac:dyDescent="0.45">
      <c r="A684">
        <v>6</v>
      </c>
      <c r="B684" t="s">
        <v>74</v>
      </c>
      <c r="C684" t="str">
        <f t="shared" si="24"/>
        <v>AW6</v>
      </c>
      <c r="E684" s="19">
        <v>45820</v>
      </c>
      <c r="H684" t="s">
        <v>81</v>
      </c>
      <c r="I684" t="s">
        <v>78</v>
      </c>
      <c r="K684" t="s">
        <v>79</v>
      </c>
      <c r="L684">
        <v>0.8</v>
      </c>
      <c r="M684">
        <f t="shared" si="25"/>
        <v>0.50265482457436694</v>
      </c>
    </row>
    <row r="685" spans="1:15" x14ac:dyDescent="0.45">
      <c r="A685">
        <v>6</v>
      </c>
      <c r="B685" t="s">
        <v>74</v>
      </c>
      <c r="C685" t="str">
        <f t="shared" si="24"/>
        <v>AW6</v>
      </c>
      <c r="E685" s="19">
        <v>45820</v>
      </c>
      <c r="H685" t="s">
        <v>81</v>
      </c>
      <c r="I685" t="s">
        <v>78</v>
      </c>
      <c r="K685" t="s">
        <v>79</v>
      </c>
      <c r="L685">
        <v>0.2</v>
      </c>
      <c r="M685">
        <f t="shared" si="25"/>
        <v>3.1415926535897934E-2</v>
      </c>
    </row>
    <row r="686" spans="1:15" x14ac:dyDescent="0.45">
      <c r="A686">
        <v>6</v>
      </c>
      <c r="B686" t="s">
        <v>74</v>
      </c>
      <c r="C686" t="str">
        <f t="shared" si="24"/>
        <v>AW6</v>
      </c>
      <c r="E686" s="19">
        <v>45820</v>
      </c>
      <c r="H686" t="s">
        <v>81</v>
      </c>
      <c r="I686" t="s">
        <v>78</v>
      </c>
      <c r="K686" t="s">
        <v>79</v>
      </c>
      <c r="L686">
        <v>0.2</v>
      </c>
      <c r="M686">
        <f t="shared" si="25"/>
        <v>3.1415926535897934E-2</v>
      </c>
    </row>
    <row r="687" spans="1:15" x14ac:dyDescent="0.45">
      <c r="A687">
        <v>6</v>
      </c>
      <c r="B687" t="s">
        <v>74</v>
      </c>
      <c r="C687" t="str">
        <f t="shared" si="24"/>
        <v>AW6</v>
      </c>
      <c r="E687" s="19">
        <v>45820</v>
      </c>
      <c r="H687" t="s">
        <v>81</v>
      </c>
      <c r="I687" t="s">
        <v>78</v>
      </c>
      <c r="K687" t="s">
        <v>79</v>
      </c>
      <c r="L687">
        <v>0.1</v>
      </c>
      <c r="M687">
        <f t="shared" si="25"/>
        <v>7.8539816339744835E-3</v>
      </c>
    </row>
    <row r="688" spans="1:15" x14ac:dyDescent="0.45">
      <c r="A688">
        <v>6</v>
      </c>
      <c r="B688" t="s">
        <v>74</v>
      </c>
      <c r="C688" t="str">
        <f t="shared" si="24"/>
        <v>AW6</v>
      </c>
      <c r="E688" s="19">
        <v>45820</v>
      </c>
      <c r="H688" t="s">
        <v>81</v>
      </c>
      <c r="I688" t="s">
        <v>78</v>
      </c>
      <c r="K688" t="s">
        <v>79</v>
      </c>
      <c r="L688">
        <v>0.3</v>
      </c>
      <c r="M688">
        <f t="shared" si="25"/>
        <v>7.0685834705770348E-2</v>
      </c>
    </row>
    <row r="689" spans="1:15" x14ac:dyDescent="0.45">
      <c r="A689">
        <v>6</v>
      </c>
      <c r="B689" t="s">
        <v>74</v>
      </c>
      <c r="C689" t="str">
        <f t="shared" si="24"/>
        <v>AW6</v>
      </c>
      <c r="E689" s="19">
        <v>45820</v>
      </c>
      <c r="H689" t="s">
        <v>81</v>
      </c>
      <c r="I689" t="s">
        <v>78</v>
      </c>
      <c r="K689" t="s">
        <v>77</v>
      </c>
      <c r="L689">
        <v>1.1000000000000001</v>
      </c>
      <c r="M689">
        <f t="shared" si="25"/>
        <v>0.63355451847394173</v>
      </c>
    </row>
    <row r="690" spans="1:15" x14ac:dyDescent="0.45">
      <c r="A690">
        <v>6</v>
      </c>
      <c r="B690" t="s">
        <v>74</v>
      </c>
      <c r="C690" t="str">
        <f t="shared" si="24"/>
        <v>AW6</v>
      </c>
      <c r="E690" s="19">
        <v>45820</v>
      </c>
      <c r="H690" t="s">
        <v>81</v>
      </c>
      <c r="I690" t="s">
        <v>80</v>
      </c>
      <c r="K690" t="s">
        <v>79</v>
      </c>
      <c r="L690">
        <v>0.2</v>
      </c>
      <c r="M690">
        <f t="shared" si="25"/>
        <v>3.1415926535897934E-2</v>
      </c>
      <c r="N690">
        <v>2</v>
      </c>
    </row>
    <row r="691" spans="1:15" x14ac:dyDescent="0.45">
      <c r="A691">
        <v>6</v>
      </c>
      <c r="B691" t="s">
        <v>74</v>
      </c>
      <c r="C691" t="str">
        <f t="shared" si="24"/>
        <v>AW6</v>
      </c>
      <c r="E691" s="19">
        <v>45820</v>
      </c>
      <c r="H691" t="s">
        <v>81</v>
      </c>
      <c r="I691" t="s">
        <v>80</v>
      </c>
      <c r="K691" t="s">
        <v>79</v>
      </c>
      <c r="L691">
        <v>0.2</v>
      </c>
      <c r="M691">
        <f t="shared" si="25"/>
        <v>3.1415926535897934E-2</v>
      </c>
    </row>
    <row r="692" spans="1:15" x14ac:dyDescent="0.45">
      <c r="A692">
        <v>6</v>
      </c>
      <c r="B692" t="s">
        <v>74</v>
      </c>
      <c r="C692" t="str">
        <f t="shared" si="24"/>
        <v>AW6</v>
      </c>
      <c r="E692" s="19">
        <v>45820</v>
      </c>
      <c r="H692" t="s">
        <v>81</v>
      </c>
      <c r="I692" t="s">
        <v>80</v>
      </c>
      <c r="K692" t="s">
        <v>79</v>
      </c>
      <c r="L692">
        <v>0.6</v>
      </c>
      <c r="M692">
        <f t="shared" si="25"/>
        <v>0.28274333882308139</v>
      </c>
    </row>
    <row r="693" spans="1:15" x14ac:dyDescent="0.45">
      <c r="A693">
        <v>7</v>
      </c>
      <c r="B693" t="s">
        <v>74</v>
      </c>
      <c r="C693" t="str">
        <f t="shared" ref="C693:C756" si="26">"A" &amp; UPPER(LEFT(B693,1)) &amp; A693</f>
        <v>AW7</v>
      </c>
      <c r="E693" s="19">
        <v>45820</v>
      </c>
      <c r="H693" t="s">
        <v>75</v>
      </c>
      <c r="I693" t="s">
        <v>76</v>
      </c>
      <c r="M693" t="str">
        <f t="shared" si="25"/>
        <v/>
      </c>
      <c r="O693">
        <v>1</v>
      </c>
    </row>
    <row r="694" spans="1:15" x14ac:dyDescent="0.45">
      <c r="A694">
        <v>7</v>
      </c>
      <c r="B694" t="s">
        <v>74</v>
      </c>
      <c r="C694" t="str">
        <f t="shared" si="26"/>
        <v>AW7</v>
      </c>
      <c r="E694" s="19">
        <v>45820</v>
      </c>
      <c r="H694" t="s">
        <v>75</v>
      </c>
      <c r="I694" t="s">
        <v>78</v>
      </c>
      <c r="K694" t="s">
        <v>79</v>
      </c>
      <c r="L694">
        <v>2</v>
      </c>
      <c r="M694">
        <f t="shared" si="25"/>
        <v>3.1415926535897931</v>
      </c>
      <c r="N694">
        <v>1</v>
      </c>
      <c r="O694">
        <v>7</v>
      </c>
    </row>
    <row r="695" spans="1:15" x14ac:dyDescent="0.45">
      <c r="A695">
        <v>7</v>
      </c>
      <c r="B695" t="s">
        <v>74</v>
      </c>
      <c r="C695" t="str">
        <f t="shared" si="26"/>
        <v>AW7</v>
      </c>
      <c r="E695" s="19">
        <v>45820</v>
      </c>
      <c r="H695" t="s">
        <v>75</v>
      </c>
      <c r="I695" t="s">
        <v>78</v>
      </c>
      <c r="K695" t="s">
        <v>79</v>
      </c>
      <c r="L695">
        <v>0.3</v>
      </c>
      <c r="M695">
        <f t="shared" si="25"/>
        <v>7.0685834705770348E-2</v>
      </c>
    </row>
    <row r="696" spans="1:15" x14ac:dyDescent="0.45">
      <c r="A696">
        <v>7</v>
      </c>
      <c r="B696" t="s">
        <v>74</v>
      </c>
      <c r="C696" t="str">
        <f t="shared" si="26"/>
        <v>AW7</v>
      </c>
      <c r="E696" s="19">
        <v>45820</v>
      </c>
      <c r="H696" t="s">
        <v>75</v>
      </c>
      <c r="I696" t="s">
        <v>78</v>
      </c>
      <c r="K696" t="s">
        <v>79</v>
      </c>
      <c r="L696">
        <v>0.2</v>
      </c>
      <c r="M696">
        <f t="shared" si="25"/>
        <v>3.1415926535897934E-2</v>
      </c>
    </row>
    <row r="697" spans="1:15" x14ac:dyDescent="0.45">
      <c r="A697">
        <v>7</v>
      </c>
      <c r="B697" t="s">
        <v>74</v>
      </c>
      <c r="C697" t="str">
        <f t="shared" si="26"/>
        <v>AW7</v>
      </c>
      <c r="E697" s="19">
        <v>45820</v>
      </c>
      <c r="H697" t="s">
        <v>75</v>
      </c>
      <c r="I697" t="s">
        <v>80</v>
      </c>
      <c r="K697" t="s">
        <v>79</v>
      </c>
      <c r="L697">
        <v>0.3</v>
      </c>
      <c r="M697">
        <f t="shared" si="25"/>
        <v>7.0685834705770348E-2</v>
      </c>
    </row>
    <row r="698" spans="1:15" x14ac:dyDescent="0.45">
      <c r="A698">
        <v>7</v>
      </c>
      <c r="B698" t="s">
        <v>74</v>
      </c>
      <c r="C698" t="str">
        <f t="shared" si="26"/>
        <v>AW7</v>
      </c>
      <c r="E698" s="19">
        <v>45820</v>
      </c>
      <c r="H698" t="s">
        <v>75</v>
      </c>
      <c r="I698" t="s">
        <v>80</v>
      </c>
      <c r="K698" t="s">
        <v>79</v>
      </c>
      <c r="L698">
        <v>0.2</v>
      </c>
      <c r="M698">
        <f t="shared" si="25"/>
        <v>3.1415926535897934E-2</v>
      </c>
    </row>
    <row r="699" spans="1:15" x14ac:dyDescent="0.45">
      <c r="A699">
        <v>7</v>
      </c>
      <c r="B699" t="s">
        <v>74</v>
      </c>
      <c r="C699" t="str">
        <f t="shared" si="26"/>
        <v>AW7</v>
      </c>
      <c r="E699" s="19">
        <v>45820</v>
      </c>
      <c r="H699" t="s">
        <v>75</v>
      </c>
      <c r="I699" t="s">
        <v>80</v>
      </c>
      <c r="K699" t="s">
        <v>79</v>
      </c>
      <c r="L699">
        <v>0.4</v>
      </c>
      <c r="M699">
        <f t="shared" si="25"/>
        <v>0.12566370614359174</v>
      </c>
    </row>
    <row r="700" spans="1:15" x14ac:dyDescent="0.45">
      <c r="A700">
        <v>7</v>
      </c>
      <c r="B700" t="s">
        <v>74</v>
      </c>
      <c r="C700" t="str">
        <f t="shared" si="26"/>
        <v>AW7</v>
      </c>
      <c r="E700" s="19">
        <v>45820</v>
      </c>
      <c r="H700" t="s">
        <v>75</v>
      </c>
      <c r="I700" t="s">
        <v>80</v>
      </c>
      <c r="K700" t="s">
        <v>79</v>
      </c>
      <c r="L700">
        <v>0.3</v>
      </c>
      <c r="M700">
        <f t="shared" si="25"/>
        <v>7.0685834705770348E-2</v>
      </c>
    </row>
    <row r="701" spans="1:15" x14ac:dyDescent="0.45">
      <c r="A701">
        <v>7</v>
      </c>
      <c r="B701" t="s">
        <v>74</v>
      </c>
      <c r="C701" t="str">
        <f t="shared" si="26"/>
        <v>AW7</v>
      </c>
      <c r="E701" s="19">
        <v>45820</v>
      </c>
      <c r="H701" t="s">
        <v>81</v>
      </c>
      <c r="I701" t="s">
        <v>76</v>
      </c>
      <c r="M701" t="str">
        <f t="shared" si="25"/>
        <v/>
      </c>
    </row>
    <row r="702" spans="1:15" x14ac:dyDescent="0.45">
      <c r="A702">
        <v>7</v>
      </c>
      <c r="B702" t="s">
        <v>74</v>
      </c>
      <c r="C702" t="str">
        <f t="shared" si="26"/>
        <v>AW7</v>
      </c>
      <c r="E702" s="19">
        <v>45820</v>
      </c>
      <c r="H702" t="s">
        <v>81</v>
      </c>
      <c r="I702" t="s">
        <v>78</v>
      </c>
      <c r="K702" t="s">
        <v>79</v>
      </c>
      <c r="L702">
        <v>0.3</v>
      </c>
      <c r="M702">
        <f t="shared" si="25"/>
        <v>7.0685834705770348E-2</v>
      </c>
    </row>
    <row r="703" spans="1:15" x14ac:dyDescent="0.45">
      <c r="A703">
        <v>7</v>
      </c>
      <c r="B703" t="s">
        <v>74</v>
      </c>
      <c r="C703" t="str">
        <f t="shared" si="26"/>
        <v>AW7</v>
      </c>
      <c r="E703" s="19">
        <v>45820</v>
      </c>
      <c r="H703" t="s">
        <v>81</v>
      </c>
      <c r="I703" t="s">
        <v>78</v>
      </c>
      <c r="K703" t="s">
        <v>79</v>
      </c>
      <c r="L703">
        <v>0.3</v>
      </c>
      <c r="M703">
        <f t="shared" si="25"/>
        <v>7.0685834705770348E-2</v>
      </c>
    </row>
    <row r="704" spans="1:15" x14ac:dyDescent="0.45">
      <c r="A704">
        <v>7</v>
      </c>
      <c r="B704" t="s">
        <v>74</v>
      </c>
      <c r="C704" t="str">
        <f t="shared" si="26"/>
        <v>AW7</v>
      </c>
      <c r="E704" s="19">
        <v>45820</v>
      </c>
      <c r="H704" t="s">
        <v>81</v>
      </c>
      <c r="I704" t="s">
        <v>78</v>
      </c>
      <c r="K704" t="s">
        <v>79</v>
      </c>
      <c r="L704">
        <v>0.2</v>
      </c>
      <c r="M704">
        <f t="shared" si="25"/>
        <v>3.1415926535897934E-2</v>
      </c>
    </row>
    <row r="705" spans="1:15" x14ac:dyDescent="0.45">
      <c r="A705">
        <v>7</v>
      </c>
      <c r="B705" t="s">
        <v>74</v>
      </c>
      <c r="C705" t="str">
        <f t="shared" si="26"/>
        <v>AW7</v>
      </c>
      <c r="E705" s="19">
        <v>45820</v>
      </c>
      <c r="H705" t="s">
        <v>81</v>
      </c>
      <c r="I705" t="s">
        <v>78</v>
      </c>
      <c r="K705" t="s">
        <v>79</v>
      </c>
      <c r="L705">
        <v>0.1</v>
      </c>
      <c r="M705">
        <f t="shared" si="25"/>
        <v>7.8539816339744835E-3</v>
      </c>
    </row>
    <row r="706" spans="1:15" x14ac:dyDescent="0.45">
      <c r="A706">
        <v>7</v>
      </c>
      <c r="B706" t="s">
        <v>74</v>
      </c>
      <c r="C706" t="str">
        <f t="shared" si="26"/>
        <v>AW7</v>
      </c>
      <c r="E706" s="19">
        <v>45820</v>
      </c>
      <c r="H706" t="s">
        <v>81</v>
      </c>
      <c r="I706" t="s">
        <v>78</v>
      </c>
      <c r="K706" t="s">
        <v>79</v>
      </c>
      <c r="L706">
        <v>0.1</v>
      </c>
      <c r="M706">
        <f t="shared" si="25"/>
        <v>7.8539816339744835E-3</v>
      </c>
    </row>
    <row r="707" spans="1:15" x14ac:dyDescent="0.45">
      <c r="A707">
        <v>7</v>
      </c>
      <c r="B707" t="s">
        <v>74</v>
      </c>
      <c r="C707" t="str">
        <f t="shared" si="26"/>
        <v>AW7</v>
      </c>
      <c r="E707" s="19">
        <v>45820</v>
      </c>
      <c r="H707" t="s">
        <v>81</v>
      </c>
      <c r="I707" t="s">
        <v>78</v>
      </c>
      <c r="K707" t="s">
        <v>79</v>
      </c>
      <c r="L707">
        <v>0.2</v>
      </c>
      <c r="M707">
        <f t="shared" si="25"/>
        <v>3.1415926535897934E-2</v>
      </c>
    </row>
    <row r="708" spans="1:15" x14ac:dyDescent="0.45">
      <c r="A708">
        <v>7</v>
      </c>
      <c r="B708" t="s">
        <v>74</v>
      </c>
      <c r="C708" t="str">
        <f t="shared" si="26"/>
        <v>AW7</v>
      </c>
      <c r="E708" s="19">
        <v>45820</v>
      </c>
      <c r="H708" t="s">
        <v>81</v>
      </c>
      <c r="I708" t="s">
        <v>78</v>
      </c>
      <c r="K708" t="s">
        <v>79</v>
      </c>
      <c r="L708">
        <v>0.3</v>
      </c>
      <c r="M708">
        <f t="shared" si="25"/>
        <v>7.0685834705770348E-2</v>
      </c>
    </row>
    <row r="709" spans="1:15" x14ac:dyDescent="0.45">
      <c r="A709">
        <v>7</v>
      </c>
      <c r="B709" t="s">
        <v>74</v>
      </c>
      <c r="C709" t="str">
        <f t="shared" si="26"/>
        <v>AW7</v>
      </c>
      <c r="E709" s="19">
        <v>45820</v>
      </c>
      <c r="H709" t="s">
        <v>81</v>
      </c>
      <c r="I709" t="s">
        <v>80</v>
      </c>
      <c r="K709" t="s">
        <v>79</v>
      </c>
      <c r="L709">
        <v>0.3</v>
      </c>
      <c r="M709">
        <f t="shared" si="25"/>
        <v>7.0685834705770348E-2</v>
      </c>
      <c r="O709">
        <v>1</v>
      </c>
    </row>
    <row r="710" spans="1:15" x14ac:dyDescent="0.45">
      <c r="A710">
        <v>7</v>
      </c>
      <c r="B710" t="s">
        <v>74</v>
      </c>
      <c r="C710" t="str">
        <f t="shared" si="26"/>
        <v>AW7</v>
      </c>
      <c r="E710" s="19">
        <v>45820</v>
      </c>
      <c r="H710" t="s">
        <v>81</v>
      </c>
      <c r="I710" t="s">
        <v>80</v>
      </c>
      <c r="K710" t="s">
        <v>79</v>
      </c>
      <c r="L710">
        <v>0.3</v>
      </c>
      <c r="M710">
        <f t="shared" si="25"/>
        <v>7.0685834705770348E-2</v>
      </c>
    </row>
    <row r="711" spans="1:15" x14ac:dyDescent="0.45">
      <c r="A711">
        <v>9</v>
      </c>
      <c r="B711" t="s">
        <v>74</v>
      </c>
      <c r="C711" t="str">
        <f t="shared" si="26"/>
        <v>AW9</v>
      </c>
      <c r="E711" s="19">
        <v>45820</v>
      </c>
      <c r="H711" t="s">
        <v>75</v>
      </c>
      <c r="I711" t="s">
        <v>76</v>
      </c>
      <c r="M711" t="str">
        <f t="shared" si="25"/>
        <v/>
      </c>
    </row>
    <row r="712" spans="1:15" x14ac:dyDescent="0.45">
      <c r="A712">
        <v>9</v>
      </c>
      <c r="B712" t="s">
        <v>74</v>
      </c>
      <c r="C712" t="str">
        <f t="shared" si="26"/>
        <v>AW9</v>
      </c>
      <c r="E712" s="19">
        <v>45820</v>
      </c>
      <c r="H712" t="s">
        <v>75</v>
      </c>
      <c r="I712" t="s">
        <v>78</v>
      </c>
      <c r="K712" t="s">
        <v>79</v>
      </c>
      <c r="L712">
        <v>0.4</v>
      </c>
      <c r="M712">
        <f t="shared" si="25"/>
        <v>0.12566370614359174</v>
      </c>
      <c r="N712">
        <v>1</v>
      </c>
    </row>
    <row r="713" spans="1:15" x14ac:dyDescent="0.45">
      <c r="A713">
        <v>9</v>
      </c>
      <c r="B713" t="s">
        <v>74</v>
      </c>
      <c r="C713" t="str">
        <f t="shared" si="26"/>
        <v>AW9</v>
      </c>
      <c r="E713" s="19">
        <v>45820</v>
      </c>
      <c r="H713" t="s">
        <v>75</v>
      </c>
      <c r="I713" t="s">
        <v>80</v>
      </c>
      <c r="M713" t="str">
        <f t="shared" si="25"/>
        <v/>
      </c>
      <c r="O713">
        <v>1</v>
      </c>
    </row>
    <row r="714" spans="1:15" x14ac:dyDescent="0.45">
      <c r="A714">
        <v>9</v>
      </c>
      <c r="B714" t="s">
        <v>74</v>
      </c>
      <c r="C714" t="str">
        <f t="shared" si="26"/>
        <v>AW9</v>
      </c>
      <c r="E714" s="19">
        <v>45820</v>
      </c>
      <c r="H714" t="s">
        <v>81</v>
      </c>
      <c r="I714" t="s">
        <v>76</v>
      </c>
      <c r="M714" t="str">
        <f t="shared" si="25"/>
        <v/>
      </c>
    </row>
    <row r="715" spans="1:15" x14ac:dyDescent="0.45">
      <c r="A715">
        <v>9</v>
      </c>
      <c r="B715" t="s">
        <v>74</v>
      </c>
      <c r="C715" t="str">
        <f t="shared" si="26"/>
        <v>AW9</v>
      </c>
      <c r="E715" s="19">
        <v>45820</v>
      </c>
      <c r="H715" t="s">
        <v>81</v>
      </c>
      <c r="I715" t="s">
        <v>78</v>
      </c>
      <c r="K715" t="s">
        <v>77</v>
      </c>
      <c r="L715">
        <v>0.6</v>
      </c>
      <c r="M715">
        <f t="shared" si="25"/>
        <v>0.18849555921538758</v>
      </c>
    </row>
    <row r="716" spans="1:15" x14ac:dyDescent="0.45">
      <c r="A716">
        <v>9</v>
      </c>
      <c r="B716" t="s">
        <v>74</v>
      </c>
      <c r="C716" t="str">
        <f t="shared" si="26"/>
        <v>AW9</v>
      </c>
      <c r="E716" s="19">
        <v>45820</v>
      </c>
      <c r="H716" t="s">
        <v>81</v>
      </c>
      <c r="I716" t="s">
        <v>78</v>
      </c>
      <c r="K716" t="s">
        <v>79</v>
      </c>
      <c r="L716">
        <v>0.2</v>
      </c>
      <c r="M716">
        <f t="shared" si="25"/>
        <v>3.1415926535897934E-2</v>
      </c>
    </row>
    <row r="717" spans="1:15" x14ac:dyDescent="0.45">
      <c r="A717">
        <v>9</v>
      </c>
      <c r="B717" t="s">
        <v>74</v>
      </c>
      <c r="C717" t="str">
        <f t="shared" si="26"/>
        <v>AW9</v>
      </c>
      <c r="E717" s="19">
        <v>45820</v>
      </c>
      <c r="H717" t="s">
        <v>81</v>
      </c>
      <c r="I717" t="s">
        <v>78</v>
      </c>
      <c r="K717" t="s">
        <v>79</v>
      </c>
      <c r="L717">
        <v>0.3</v>
      </c>
      <c r="M717">
        <f t="shared" ref="M717:M780" si="27">IF(OR(L717="na", L717=""), "", IF(K717="mm", PI()*(L717/2)^2, IF(K717="ep", PI()*(L717/2)*(L717*(2/3)/2), "")))</f>
        <v>7.0685834705770348E-2</v>
      </c>
    </row>
    <row r="718" spans="1:15" x14ac:dyDescent="0.45">
      <c r="A718">
        <v>9</v>
      </c>
      <c r="B718" t="s">
        <v>74</v>
      </c>
      <c r="C718" t="str">
        <f t="shared" si="26"/>
        <v>AW9</v>
      </c>
      <c r="E718" s="19">
        <v>45820</v>
      </c>
      <c r="H718" t="s">
        <v>81</v>
      </c>
      <c r="I718" t="s">
        <v>78</v>
      </c>
      <c r="K718" t="s">
        <v>79</v>
      </c>
      <c r="L718">
        <v>0.2</v>
      </c>
      <c r="M718">
        <f t="shared" si="27"/>
        <v>3.1415926535897934E-2</v>
      </c>
    </row>
    <row r="719" spans="1:15" x14ac:dyDescent="0.45">
      <c r="A719">
        <v>9</v>
      </c>
      <c r="B719" t="s">
        <v>74</v>
      </c>
      <c r="C719" t="str">
        <f t="shared" si="26"/>
        <v>AW9</v>
      </c>
      <c r="E719" s="19">
        <v>45820</v>
      </c>
      <c r="H719" t="s">
        <v>81</v>
      </c>
      <c r="I719" t="s">
        <v>78</v>
      </c>
      <c r="K719" t="s">
        <v>79</v>
      </c>
      <c r="L719">
        <v>0.2</v>
      </c>
      <c r="M719">
        <f t="shared" si="27"/>
        <v>3.1415926535897934E-2</v>
      </c>
    </row>
    <row r="720" spans="1:15" x14ac:dyDescent="0.45">
      <c r="A720">
        <v>9</v>
      </c>
      <c r="B720" t="s">
        <v>74</v>
      </c>
      <c r="C720" t="str">
        <f t="shared" si="26"/>
        <v>AW9</v>
      </c>
      <c r="E720" s="19">
        <v>45820</v>
      </c>
      <c r="H720" t="s">
        <v>81</v>
      </c>
      <c r="I720" t="s">
        <v>78</v>
      </c>
      <c r="K720" t="s">
        <v>79</v>
      </c>
      <c r="L720">
        <v>0.1</v>
      </c>
      <c r="M720">
        <f t="shared" si="27"/>
        <v>7.8539816339744835E-3</v>
      </c>
    </row>
    <row r="721" spans="1:15" x14ac:dyDescent="0.45">
      <c r="A721">
        <v>9</v>
      </c>
      <c r="B721" t="s">
        <v>74</v>
      </c>
      <c r="C721" t="str">
        <f t="shared" si="26"/>
        <v>AW9</v>
      </c>
      <c r="E721" s="19">
        <v>45820</v>
      </c>
      <c r="H721" t="s">
        <v>81</v>
      </c>
      <c r="I721" t="s">
        <v>78</v>
      </c>
      <c r="K721" t="s">
        <v>79</v>
      </c>
      <c r="L721">
        <v>0.1</v>
      </c>
      <c r="M721">
        <f t="shared" si="27"/>
        <v>7.8539816339744835E-3</v>
      </c>
    </row>
    <row r="722" spans="1:15" x14ac:dyDescent="0.45">
      <c r="A722">
        <v>9</v>
      </c>
      <c r="B722" t="s">
        <v>74</v>
      </c>
      <c r="C722" t="str">
        <f t="shared" si="26"/>
        <v>AW9</v>
      </c>
      <c r="E722" s="19">
        <v>45820</v>
      </c>
      <c r="H722" t="s">
        <v>81</v>
      </c>
      <c r="I722" t="s">
        <v>78</v>
      </c>
      <c r="K722" t="s">
        <v>79</v>
      </c>
      <c r="L722">
        <v>0.1</v>
      </c>
      <c r="M722">
        <f t="shared" si="27"/>
        <v>7.8539816339744835E-3</v>
      </c>
    </row>
    <row r="723" spans="1:15" x14ac:dyDescent="0.45">
      <c r="A723">
        <v>9</v>
      </c>
      <c r="B723" t="s">
        <v>74</v>
      </c>
      <c r="C723" t="str">
        <f t="shared" si="26"/>
        <v>AW9</v>
      </c>
      <c r="E723" s="19">
        <v>45820</v>
      </c>
      <c r="H723" t="s">
        <v>81</v>
      </c>
      <c r="I723" t="s">
        <v>78</v>
      </c>
      <c r="K723" t="s">
        <v>79</v>
      </c>
      <c r="L723">
        <v>0.1</v>
      </c>
      <c r="M723">
        <f t="shared" si="27"/>
        <v>7.8539816339744835E-3</v>
      </c>
    </row>
    <row r="724" spans="1:15" x14ac:dyDescent="0.45">
      <c r="A724">
        <v>9</v>
      </c>
      <c r="B724" t="s">
        <v>74</v>
      </c>
      <c r="C724" t="str">
        <f t="shared" si="26"/>
        <v>AW9</v>
      </c>
      <c r="E724" s="19">
        <v>45820</v>
      </c>
      <c r="H724" t="s">
        <v>81</v>
      </c>
      <c r="I724" t="s">
        <v>78</v>
      </c>
      <c r="K724" t="s">
        <v>79</v>
      </c>
      <c r="L724">
        <v>0.1</v>
      </c>
      <c r="M724">
        <f t="shared" si="27"/>
        <v>7.8539816339744835E-3</v>
      </c>
    </row>
    <row r="725" spans="1:15" x14ac:dyDescent="0.45">
      <c r="A725">
        <v>9</v>
      </c>
      <c r="B725" t="s">
        <v>74</v>
      </c>
      <c r="C725" t="str">
        <f t="shared" si="26"/>
        <v>AW9</v>
      </c>
      <c r="E725" s="19">
        <v>45820</v>
      </c>
      <c r="H725" t="s">
        <v>81</v>
      </c>
      <c r="I725" t="s">
        <v>80</v>
      </c>
      <c r="M725" t="str">
        <f t="shared" si="27"/>
        <v/>
      </c>
    </row>
    <row r="726" spans="1:15" x14ac:dyDescent="0.45">
      <c r="A726">
        <v>9</v>
      </c>
      <c r="B726" t="s">
        <v>82</v>
      </c>
      <c r="C726" t="str">
        <f t="shared" si="26"/>
        <v>AR9</v>
      </c>
      <c r="E726" s="19">
        <v>45820</v>
      </c>
      <c r="H726" t="s">
        <v>75</v>
      </c>
      <c r="I726" t="s">
        <v>76</v>
      </c>
      <c r="M726" t="str">
        <f t="shared" si="27"/>
        <v/>
      </c>
      <c r="O726">
        <v>1</v>
      </c>
    </row>
    <row r="727" spans="1:15" x14ac:dyDescent="0.45">
      <c r="A727">
        <v>9</v>
      </c>
      <c r="B727" t="s">
        <v>82</v>
      </c>
      <c r="C727" t="str">
        <f t="shared" si="26"/>
        <v>AR9</v>
      </c>
      <c r="E727" s="19">
        <v>45820</v>
      </c>
      <c r="H727" t="s">
        <v>75</v>
      </c>
      <c r="I727" t="s">
        <v>78</v>
      </c>
      <c r="K727" t="s">
        <v>79</v>
      </c>
      <c r="L727">
        <v>1</v>
      </c>
      <c r="M727">
        <f t="shared" si="27"/>
        <v>0.78539816339744828</v>
      </c>
      <c r="O727">
        <v>2</v>
      </c>
    </row>
    <row r="728" spans="1:15" x14ac:dyDescent="0.45">
      <c r="A728">
        <v>9</v>
      </c>
      <c r="B728" t="s">
        <v>82</v>
      </c>
      <c r="C728" t="str">
        <f t="shared" si="26"/>
        <v>AR9</v>
      </c>
      <c r="E728" s="19">
        <v>45820</v>
      </c>
      <c r="H728" t="s">
        <v>75</v>
      </c>
      <c r="I728" t="s">
        <v>80</v>
      </c>
      <c r="K728" t="s">
        <v>77</v>
      </c>
      <c r="L728">
        <v>1</v>
      </c>
      <c r="M728">
        <f t="shared" si="27"/>
        <v>0.52359877559829882</v>
      </c>
    </row>
    <row r="729" spans="1:15" x14ac:dyDescent="0.45">
      <c r="A729">
        <v>9</v>
      </c>
      <c r="B729" t="s">
        <v>82</v>
      </c>
      <c r="C729" t="str">
        <f t="shared" si="26"/>
        <v>AR9</v>
      </c>
      <c r="E729" s="19">
        <v>45820</v>
      </c>
      <c r="H729" t="s">
        <v>75</v>
      </c>
      <c r="I729" t="s">
        <v>80</v>
      </c>
      <c r="K729" t="s">
        <v>77</v>
      </c>
      <c r="L729">
        <v>1</v>
      </c>
      <c r="M729">
        <f t="shared" si="27"/>
        <v>0.52359877559829882</v>
      </c>
    </row>
    <row r="730" spans="1:15" x14ac:dyDescent="0.45">
      <c r="A730">
        <v>9</v>
      </c>
      <c r="B730" t="s">
        <v>82</v>
      </c>
      <c r="C730" t="str">
        <f t="shared" si="26"/>
        <v>AR9</v>
      </c>
      <c r="E730" s="19">
        <v>45820</v>
      </c>
      <c r="H730" t="s">
        <v>75</v>
      </c>
      <c r="I730" t="s">
        <v>80</v>
      </c>
      <c r="K730" t="s">
        <v>77</v>
      </c>
      <c r="L730">
        <v>0.5</v>
      </c>
      <c r="M730">
        <f t="shared" si="27"/>
        <v>0.1308996938995747</v>
      </c>
    </row>
    <row r="731" spans="1:15" x14ac:dyDescent="0.45">
      <c r="A731">
        <v>9</v>
      </c>
      <c r="B731" t="s">
        <v>82</v>
      </c>
      <c r="C731" t="str">
        <f t="shared" si="26"/>
        <v>AR9</v>
      </c>
      <c r="E731" s="19">
        <v>45820</v>
      </c>
      <c r="H731" t="s">
        <v>75</v>
      </c>
      <c r="I731" t="s">
        <v>80</v>
      </c>
      <c r="K731" t="s">
        <v>79</v>
      </c>
      <c r="L731">
        <v>0.2</v>
      </c>
      <c r="M731">
        <f t="shared" si="27"/>
        <v>3.1415926535897934E-2</v>
      </c>
    </row>
    <row r="732" spans="1:15" x14ac:dyDescent="0.45">
      <c r="A732">
        <v>9</v>
      </c>
      <c r="B732" t="s">
        <v>82</v>
      </c>
      <c r="C732" t="str">
        <f t="shared" si="26"/>
        <v>AR9</v>
      </c>
      <c r="E732" s="19">
        <v>45820</v>
      </c>
      <c r="H732" t="s">
        <v>75</v>
      </c>
      <c r="I732" t="s">
        <v>80</v>
      </c>
      <c r="K732" t="s">
        <v>79</v>
      </c>
      <c r="L732">
        <v>0.1</v>
      </c>
      <c r="M732">
        <f t="shared" si="27"/>
        <v>7.8539816339744835E-3</v>
      </c>
      <c r="O732">
        <v>1</v>
      </c>
    </row>
    <row r="733" spans="1:15" x14ac:dyDescent="0.45">
      <c r="A733">
        <v>9</v>
      </c>
      <c r="B733" t="s">
        <v>82</v>
      </c>
      <c r="C733" t="str">
        <f t="shared" si="26"/>
        <v>AR9</v>
      </c>
      <c r="E733" s="19">
        <v>45820</v>
      </c>
      <c r="H733" t="s">
        <v>81</v>
      </c>
      <c r="I733" t="s">
        <v>76</v>
      </c>
      <c r="M733" t="str">
        <f t="shared" si="27"/>
        <v/>
      </c>
    </row>
    <row r="734" spans="1:15" x14ac:dyDescent="0.45">
      <c r="A734">
        <v>9</v>
      </c>
      <c r="B734" t="s">
        <v>82</v>
      </c>
      <c r="C734" t="str">
        <f t="shared" si="26"/>
        <v>AR9</v>
      </c>
      <c r="E734" s="19">
        <v>45820</v>
      </c>
      <c r="H734" t="s">
        <v>81</v>
      </c>
      <c r="I734" t="s">
        <v>78</v>
      </c>
      <c r="K734" t="s">
        <v>77</v>
      </c>
      <c r="L734">
        <v>1.1000000000000001</v>
      </c>
      <c r="M734">
        <f t="shared" si="27"/>
        <v>0.63355451847394173</v>
      </c>
      <c r="O734">
        <v>3</v>
      </c>
    </row>
    <row r="735" spans="1:15" x14ac:dyDescent="0.45">
      <c r="A735">
        <v>9</v>
      </c>
      <c r="B735" t="s">
        <v>82</v>
      </c>
      <c r="C735" t="str">
        <f t="shared" si="26"/>
        <v>AR9</v>
      </c>
      <c r="E735" s="19">
        <v>45820</v>
      </c>
      <c r="H735" t="s">
        <v>81</v>
      </c>
      <c r="I735" t="s">
        <v>78</v>
      </c>
      <c r="K735" t="s">
        <v>77</v>
      </c>
      <c r="L735">
        <v>1</v>
      </c>
      <c r="M735">
        <f t="shared" si="27"/>
        <v>0.52359877559829882</v>
      </c>
    </row>
    <row r="736" spans="1:15" x14ac:dyDescent="0.45">
      <c r="A736">
        <v>9</v>
      </c>
      <c r="B736" t="s">
        <v>82</v>
      </c>
      <c r="C736" t="str">
        <f t="shared" si="26"/>
        <v>AR9</v>
      </c>
      <c r="E736" s="19">
        <v>45820</v>
      </c>
      <c r="H736" t="s">
        <v>81</v>
      </c>
      <c r="I736" t="s">
        <v>78</v>
      </c>
      <c r="K736" t="s">
        <v>77</v>
      </c>
      <c r="L736">
        <v>0.6</v>
      </c>
      <c r="M736">
        <f t="shared" si="27"/>
        <v>0.18849555921538758</v>
      </c>
    </row>
    <row r="737" spans="1:15" x14ac:dyDescent="0.45">
      <c r="A737">
        <v>9</v>
      </c>
      <c r="B737" t="s">
        <v>82</v>
      </c>
      <c r="C737" t="str">
        <f t="shared" si="26"/>
        <v>AR9</v>
      </c>
      <c r="E737" s="19">
        <v>45820</v>
      </c>
      <c r="H737" t="s">
        <v>81</v>
      </c>
      <c r="I737" t="s">
        <v>78</v>
      </c>
      <c r="K737" t="s">
        <v>79</v>
      </c>
      <c r="L737">
        <v>0.7</v>
      </c>
      <c r="M737">
        <f t="shared" si="27"/>
        <v>0.38484510006474959</v>
      </c>
    </row>
    <row r="738" spans="1:15" x14ac:dyDescent="0.45">
      <c r="A738">
        <v>9</v>
      </c>
      <c r="B738" t="s">
        <v>82</v>
      </c>
      <c r="C738" t="str">
        <f t="shared" si="26"/>
        <v>AR9</v>
      </c>
      <c r="E738" s="19">
        <v>45820</v>
      </c>
      <c r="H738" t="s">
        <v>81</v>
      </c>
      <c r="I738" t="s">
        <v>78</v>
      </c>
      <c r="K738" t="s">
        <v>79</v>
      </c>
      <c r="L738">
        <v>0.2</v>
      </c>
      <c r="M738">
        <f t="shared" si="27"/>
        <v>3.1415926535897934E-2</v>
      </c>
    </row>
    <row r="739" spans="1:15" x14ac:dyDescent="0.45">
      <c r="A739">
        <v>9</v>
      </c>
      <c r="B739" t="s">
        <v>82</v>
      </c>
      <c r="C739" t="str">
        <f t="shared" si="26"/>
        <v>AR9</v>
      </c>
      <c r="E739" s="19">
        <v>45820</v>
      </c>
      <c r="H739" t="s">
        <v>81</v>
      </c>
      <c r="I739" t="s">
        <v>78</v>
      </c>
      <c r="K739" t="s">
        <v>79</v>
      </c>
      <c r="L739">
        <v>0.2</v>
      </c>
      <c r="M739">
        <f t="shared" si="27"/>
        <v>3.1415926535897934E-2</v>
      </c>
    </row>
    <row r="740" spans="1:15" x14ac:dyDescent="0.45">
      <c r="A740">
        <v>9</v>
      </c>
      <c r="B740" t="s">
        <v>82</v>
      </c>
      <c r="C740" t="str">
        <f t="shared" si="26"/>
        <v>AR9</v>
      </c>
      <c r="E740" s="19">
        <v>45820</v>
      </c>
      <c r="H740" t="s">
        <v>81</v>
      </c>
      <c r="I740" t="s">
        <v>78</v>
      </c>
      <c r="K740" t="s">
        <v>79</v>
      </c>
      <c r="L740">
        <v>0.2</v>
      </c>
      <c r="M740">
        <f t="shared" si="27"/>
        <v>3.1415926535897934E-2</v>
      </c>
    </row>
    <row r="741" spans="1:15" x14ac:dyDescent="0.45">
      <c r="A741">
        <v>9</v>
      </c>
      <c r="B741" t="s">
        <v>82</v>
      </c>
      <c r="C741" t="str">
        <f t="shared" si="26"/>
        <v>AR9</v>
      </c>
      <c r="E741" s="19">
        <v>45820</v>
      </c>
      <c r="H741" t="s">
        <v>81</v>
      </c>
      <c r="I741" t="s">
        <v>80</v>
      </c>
      <c r="M741" t="str">
        <f t="shared" si="27"/>
        <v/>
      </c>
      <c r="O741">
        <v>1</v>
      </c>
    </row>
    <row r="742" spans="1:15" x14ac:dyDescent="0.45">
      <c r="A742">
        <v>10</v>
      </c>
      <c r="B742" t="s">
        <v>74</v>
      </c>
      <c r="C742" t="str">
        <f t="shared" si="26"/>
        <v>AW10</v>
      </c>
      <c r="E742" s="19">
        <v>45820</v>
      </c>
      <c r="G742" t="s">
        <v>109</v>
      </c>
      <c r="H742" t="s">
        <v>75</v>
      </c>
      <c r="I742" t="s">
        <v>76</v>
      </c>
      <c r="K742" t="s">
        <v>79</v>
      </c>
      <c r="L742">
        <v>0.2</v>
      </c>
      <c r="M742">
        <f t="shared" si="27"/>
        <v>3.1415926535897934E-2</v>
      </c>
      <c r="N742">
        <v>1</v>
      </c>
      <c r="O742">
        <v>2</v>
      </c>
    </row>
    <row r="743" spans="1:15" x14ac:dyDescent="0.45">
      <c r="A743">
        <v>10</v>
      </c>
      <c r="B743" t="s">
        <v>74</v>
      </c>
      <c r="C743" t="str">
        <f t="shared" si="26"/>
        <v>AW10</v>
      </c>
      <c r="E743" s="19">
        <v>45820</v>
      </c>
      <c r="H743" t="s">
        <v>75</v>
      </c>
      <c r="I743" t="s">
        <v>76</v>
      </c>
      <c r="K743" t="s">
        <v>79</v>
      </c>
      <c r="L743">
        <v>0.1</v>
      </c>
      <c r="M743">
        <f t="shared" si="27"/>
        <v>7.8539816339744835E-3</v>
      </c>
    </row>
    <row r="744" spans="1:15" x14ac:dyDescent="0.45">
      <c r="A744">
        <v>10</v>
      </c>
      <c r="B744" t="s">
        <v>74</v>
      </c>
      <c r="C744" t="str">
        <f t="shared" si="26"/>
        <v>AW10</v>
      </c>
      <c r="E744" s="19">
        <v>45820</v>
      </c>
      <c r="H744" t="s">
        <v>75</v>
      </c>
      <c r="I744" t="s">
        <v>78</v>
      </c>
      <c r="K744" t="s">
        <v>79</v>
      </c>
      <c r="L744">
        <v>2.5</v>
      </c>
      <c r="M744">
        <f t="shared" si="27"/>
        <v>4.908738521234052</v>
      </c>
      <c r="N744">
        <v>6</v>
      </c>
    </row>
    <row r="745" spans="1:15" x14ac:dyDescent="0.45">
      <c r="A745">
        <v>10</v>
      </c>
      <c r="B745" t="s">
        <v>74</v>
      </c>
      <c r="C745" t="str">
        <f t="shared" si="26"/>
        <v>AW10</v>
      </c>
      <c r="E745" s="19">
        <v>45820</v>
      </c>
      <c r="H745" t="s">
        <v>75</v>
      </c>
      <c r="I745" t="s">
        <v>78</v>
      </c>
      <c r="K745" t="s">
        <v>79</v>
      </c>
      <c r="L745">
        <v>0.1</v>
      </c>
      <c r="M745">
        <f t="shared" si="27"/>
        <v>7.8539816339744835E-3</v>
      </c>
    </row>
    <row r="746" spans="1:15" x14ac:dyDescent="0.45">
      <c r="A746">
        <v>10</v>
      </c>
      <c r="B746" t="s">
        <v>74</v>
      </c>
      <c r="C746" t="str">
        <f t="shared" si="26"/>
        <v>AW10</v>
      </c>
      <c r="E746" s="19">
        <v>45820</v>
      </c>
      <c r="H746" t="s">
        <v>75</v>
      </c>
      <c r="I746" t="s">
        <v>78</v>
      </c>
      <c r="K746" t="s">
        <v>79</v>
      </c>
      <c r="L746">
        <v>0.1</v>
      </c>
      <c r="M746">
        <f t="shared" si="27"/>
        <v>7.8539816339744835E-3</v>
      </c>
    </row>
    <row r="747" spans="1:15" x14ac:dyDescent="0.45">
      <c r="A747">
        <v>10</v>
      </c>
      <c r="B747" t="s">
        <v>74</v>
      </c>
      <c r="C747" t="str">
        <f t="shared" si="26"/>
        <v>AW10</v>
      </c>
      <c r="E747" s="19">
        <v>45820</v>
      </c>
      <c r="H747" t="s">
        <v>81</v>
      </c>
      <c r="I747" t="s">
        <v>76</v>
      </c>
      <c r="K747" t="s">
        <v>79</v>
      </c>
      <c r="L747">
        <v>1</v>
      </c>
      <c r="M747">
        <f t="shared" si="27"/>
        <v>0.78539816339744828</v>
      </c>
      <c r="O747">
        <v>1</v>
      </c>
    </row>
    <row r="748" spans="1:15" x14ac:dyDescent="0.45">
      <c r="A748">
        <v>10</v>
      </c>
      <c r="B748" t="s">
        <v>74</v>
      </c>
      <c r="C748" t="str">
        <f t="shared" si="26"/>
        <v>AW10</v>
      </c>
      <c r="E748" s="19">
        <v>45820</v>
      </c>
      <c r="H748" t="s">
        <v>81</v>
      </c>
      <c r="I748" t="s">
        <v>78</v>
      </c>
      <c r="M748" t="str">
        <f t="shared" si="27"/>
        <v/>
      </c>
      <c r="N748">
        <v>3</v>
      </c>
    </row>
    <row r="749" spans="1:15" x14ac:dyDescent="0.45">
      <c r="A749">
        <v>11</v>
      </c>
      <c r="B749" t="s">
        <v>74</v>
      </c>
      <c r="C749" t="str">
        <f t="shared" si="26"/>
        <v>AW11</v>
      </c>
      <c r="E749" s="19">
        <v>45820</v>
      </c>
      <c r="H749" t="s">
        <v>75</v>
      </c>
      <c r="I749" t="s">
        <v>76</v>
      </c>
      <c r="K749" t="s">
        <v>79</v>
      </c>
      <c r="L749">
        <v>1.5</v>
      </c>
      <c r="M749">
        <f t="shared" si="27"/>
        <v>1.7671458676442586</v>
      </c>
      <c r="N749">
        <v>4</v>
      </c>
    </row>
    <row r="750" spans="1:15" x14ac:dyDescent="0.45">
      <c r="A750">
        <v>11</v>
      </c>
      <c r="B750" t="s">
        <v>74</v>
      </c>
      <c r="C750" t="str">
        <f t="shared" si="26"/>
        <v>AW11</v>
      </c>
      <c r="E750" s="19">
        <v>45820</v>
      </c>
      <c r="H750" t="s">
        <v>75</v>
      </c>
      <c r="I750" t="s">
        <v>78</v>
      </c>
      <c r="K750" t="s">
        <v>79</v>
      </c>
      <c r="L750">
        <v>0.2</v>
      </c>
      <c r="M750">
        <f t="shared" si="27"/>
        <v>3.1415926535897934E-2</v>
      </c>
      <c r="O750">
        <v>3</v>
      </c>
    </row>
    <row r="751" spans="1:15" x14ac:dyDescent="0.45">
      <c r="A751">
        <v>11</v>
      </c>
      <c r="B751" t="s">
        <v>74</v>
      </c>
      <c r="C751" t="str">
        <f t="shared" si="26"/>
        <v>AW11</v>
      </c>
      <c r="E751" s="19">
        <v>45820</v>
      </c>
      <c r="H751" t="s">
        <v>75</v>
      </c>
      <c r="I751" t="s">
        <v>78</v>
      </c>
      <c r="K751" t="s">
        <v>79</v>
      </c>
      <c r="L751">
        <v>0.3</v>
      </c>
      <c r="M751">
        <f t="shared" si="27"/>
        <v>7.0685834705770348E-2</v>
      </c>
    </row>
    <row r="752" spans="1:15" x14ac:dyDescent="0.45">
      <c r="A752">
        <v>11</v>
      </c>
      <c r="B752" t="s">
        <v>74</v>
      </c>
      <c r="C752" t="str">
        <f t="shared" si="26"/>
        <v>AW11</v>
      </c>
      <c r="E752" s="19">
        <v>45820</v>
      </c>
      <c r="H752" t="s">
        <v>75</v>
      </c>
      <c r="I752" t="s">
        <v>78</v>
      </c>
      <c r="K752" t="s">
        <v>79</v>
      </c>
      <c r="L752">
        <v>0.3</v>
      </c>
      <c r="M752">
        <f t="shared" si="27"/>
        <v>7.0685834705770348E-2</v>
      </c>
    </row>
    <row r="753" spans="1:15" x14ac:dyDescent="0.45">
      <c r="A753">
        <v>11</v>
      </c>
      <c r="B753" t="s">
        <v>74</v>
      </c>
      <c r="C753" t="str">
        <f t="shared" si="26"/>
        <v>AW11</v>
      </c>
      <c r="E753" s="19">
        <v>45820</v>
      </c>
      <c r="H753" t="s">
        <v>75</v>
      </c>
      <c r="I753" t="s">
        <v>80</v>
      </c>
      <c r="K753" t="s">
        <v>79</v>
      </c>
      <c r="L753">
        <v>0.5</v>
      </c>
      <c r="M753">
        <f t="shared" si="27"/>
        <v>0.19634954084936207</v>
      </c>
      <c r="O753">
        <v>2</v>
      </c>
    </row>
    <row r="754" spans="1:15" x14ac:dyDescent="0.45">
      <c r="A754">
        <v>11</v>
      </c>
      <c r="B754" t="s">
        <v>74</v>
      </c>
      <c r="C754" t="str">
        <f t="shared" si="26"/>
        <v>AW11</v>
      </c>
      <c r="E754" s="19">
        <v>45820</v>
      </c>
      <c r="H754" t="s">
        <v>75</v>
      </c>
      <c r="I754" t="s">
        <v>80</v>
      </c>
      <c r="K754" t="s">
        <v>79</v>
      </c>
      <c r="L754">
        <v>0.4</v>
      </c>
      <c r="M754">
        <f t="shared" si="27"/>
        <v>0.12566370614359174</v>
      </c>
    </row>
    <row r="755" spans="1:15" x14ac:dyDescent="0.45">
      <c r="A755">
        <v>11</v>
      </c>
      <c r="B755" t="s">
        <v>74</v>
      </c>
      <c r="C755" t="str">
        <f t="shared" si="26"/>
        <v>AW11</v>
      </c>
      <c r="E755" s="19">
        <v>45820</v>
      </c>
      <c r="H755" t="s">
        <v>81</v>
      </c>
      <c r="I755" t="s">
        <v>76</v>
      </c>
      <c r="M755" t="str">
        <f t="shared" si="27"/>
        <v/>
      </c>
    </row>
    <row r="756" spans="1:15" x14ac:dyDescent="0.45">
      <c r="A756">
        <v>11</v>
      </c>
      <c r="B756" t="s">
        <v>74</v>
      </c>
      <c r="C756" t="str">
        <f t="shared" si="26"/>
        <v>AW11</v>
      </c>
      <c r="E756" s="19">
        <v>45820</v>
      </c>
      <c r="H756" t="s">
        <v>81</v>
      </c>
      <c r="I756" t="s">
        <v>78</v>
      </c>
      <c r="K756" t="s">
        <v>79</v>
      </c>
      <c r="L756">
        <v>1</v>
      </c>
      <c r="M756">
        <f t="shared" si="27"/>
        <v>0.78539816339744828</v>
      </c>
    </row>
    <row r="757" spans="1:15" x14ac:dyDescent="0.45">
      <c r="A757">
        <v>11</v>
      </c>
      <c r="B757" t="s">
        <v>74</v>
      </c>
      <c r="C757" t="str">
        <f t="shared" ref="C757:C820" si="28">"A" &amp; UPPER(LEFT(B757,1)) &amp; A757</f>
        <v>AW11</v>
      </c>
      <c r="E757" s="19">
        <v>45820</v>
      </c>
      <c r="H757" t="s">
        <v>81</v>
      </c>
      <c r="I757" t="s">
        <v>78</v>
      </c>
      <c r="K757" t="s">
        <v>79</v>
      </c>
      <c r="L757">
        <v>1</v>
      </c>
      <c r="M757">
        <f t="shared" si="27"/>
        <v>0.78539816339744828</v>
      </c>
    </row>
    <row r="758" spans="1:15" x14ac:dyDescent="0.45">
      <c r="A758">
        <v>11</v>
      </c>
      <c r="B758" t="s">
        <v>74</v>
      </c>
      <c r="C758" t="str">
        <f t="shared" si="28"/>
        <v>AW11</v>
      </c>
      <c r="E758" s="19">
        <v>45820</v>
      </c>
      <c r="H758" t="s">
        <v>81</v>
      </c>
      <c r="I758" t="s">
        <v>78</v>
      </c>
      <c r="K758" t="s">
        <v>79</v>
      </c>
      <c r="L758">
        <v>0.2</v>
      </c>
      <c r="M758">
        <f t="shared" si="27"/>
        <v>3.1415926535897934E-2</v>
      </c>
    </row>
    <row r="759" spans="1:15" x14ac:dyDescent="0.45">
      <c r="A759">
        <v>11</v>
      </c>
      <c r="B759" t="s">
        <v>74</v>
      </c>
      <c r="C759" t="str">
        <f t="shared" si="28"/>
        <v>AW11</v>
      </c>
      <c r="E759" s="19">
        <v>45820</v>
      </c>
      <c r="H759" t="s">
        <v>81</v>
      </c>
      <c r="I759" t="s">
        <v>78</v>
      </c>
      <c r="K759" t="s">
        <v>79</v>
      </c>
      <c r="L759">
        <v>0.1</v>
      </c>
      <c r="M759">
        <f t="shared" si="27"/>
        <v>7.8539816339744835E-3</v>
      </c>
    </row>
    <row r="760" spans="1:15" x14ac:dyDescent="0.45">
      <c r="A760">
        <v>11</v>
      </c>
      <c r="B760" t="s">
        <v>74</v>
      </c>
      <c r="C760" t="str">
        <f t="shared" si="28"/>
        <v>AW11</v>
      </c>
      <c r="E760" s="19">
        <v>45820</v>
      </c>
      <c r="H760" t="s">
        <v>81</v>
      </c>
      <c r="I760" t="s">
        <v>78</v>
      </c>
      <c r="K760" t="s">
        <v>79</v>
      </c>
      <c r="L760">
        <v>0.1</v>
      </c>
      <c r="M760">
        <f t="shared" si="27"/>
        <v>7.8539816339744835E-3</v>
      </c>
    </row>
    <row r="761" spans="1:15" x14ac:dyDescent="0.45">
      <c r="A761">
        <v>11</v>
      </c>
      <c r="B761" t="s">
        <v>74</v>
      </c>
      <c r="C761" t="str">
        <f t="shared" si="28"/>
        <v>AW11</v>
      </c>
      <c r="E761" s="19">
        <v>45820</v>
      </c>
      <c r="G761" t="s">
        <v>110</v>
      </c>
      <c r="H761" t="s">
        <v>81</v>
      </c>
      <c r="I761" t="s">
        <v>80</v>
      </c>
      <c r="K761" t="s">
        <v>77</v>
      </c>
      <c r="L761">
        <v>1.2</v>
      </c>
      <c r="M761">
        <f t="shared" si="27"/>
        <v>0.7539822368615503</v>
      </c>
      <c r="O761">
        <v>1</v>
      </c>
    </row>
    <row r="762" spans="1:15" x14ac:dyDescent="0.45">
      <c r="A762">
        <v>11</v>
      </c>
      <c r="B762" t="s">
        <v>74</v>
      </c>
      <c r="C762" t="str">
        <f t="shared" si="28"/>
        <v>AW11</v>
      </c>
      <c r="E762" s="19">
        <v>45820</v>
      </c>
      <c r="H762" t="s">
        <v>81</v>
      </c>
      <c r="I762" t="s">
        <v>80</v>
      </c>
      <c r="K762" t="s">
        <v>79</v>
      </c>
      <c r="L762">
        <v>0.2</v>
      </c>
      <c r="M762">
        <f t="shared" si="27"/>
        <v>3.1415926535897934E-2</v>
      </c>
    </row>
    <row r="763" spans="1:15" x14ac:dyDescent="0.45">
      <c r="A763">
        <v>11</v>
      </c>
      <c r="B763" t="s">
        <v>74</v>
      </c>
      <c r="C763" t="str">
        <f t="shared" si="28"/>
        <v>AW11</v>
      </c>
      <c r="E763" s="19">
        <v>45820</v>
      </c>
      <c r="H763" t="s">
        <v>81</v>
      </c>
      <c r="I763" t="s">
        <v>80</v>
      </c>
      <c r="K763" t="s">
        <v>79</v>
      </c>
      <c r="L763">
        <v>0.2</v>
      </c>
      <c r="M763">
        <f t="shared" si="27"/>
        <v>3.1415926535897934E-2</v>
      </c>
    </row>
    <row r="764" spans="1:15" x14ac:dyDescent="0.45">
      <c r="A764">
        <v>12</v>
      </c>
      <c r="B764" t="s">
        <v>74</v>
      </c>
      <c r="C764" t="str">
        <f t="shared" si="28"/>
        <v>AW12</v>
      </c>
      <c r="E764" s="19">
        <v>45820</v>
      </c>
      <c r="H764" t="s">
        <v>75</v>
      </c>
      <c r="I764" t="s">
        <v>76</v>
      </c>
      <c r="K764" t="s">
        <v>79</v>
      </c>
      <c r="L764">
        <v>1</v>
      </c>
      <c r="M764">
        <f t="shared" si="27"/>
        <v>0.78539816339744828</v>
      </c>
      <c r="O764">
        <v>1</v>
      </c>
    </row>
    <row r="765" spans="1:15" x14ac:dyDescent="0.45">
      <c r="A765">
        <v>12</v>
      </c>
      <c r="B765" t="s">
        <v>74</v>
      </c>
      <c r="C765" t="str">
        <f t="shared" si="28"/>
        <v>AW12</v>
      </c>
      <c r="E765" s="19">
        <v>45820</v>
      </c>
      <c r="H765" t="s">
        <v>75</v>
      </c>
      <c r="I765" t="s">
        <v>78</v>
      </c>
      <c r="K765" t="s">
        <v>79</v>
      </c>
      <c r="L765">
        <v>2</v>
      </c>
      <c r="M765">
        <f t="shared" si="27"/>
        <v>3.1415926535897931</v>
      </c>
      <c r="N765">
        <v>1</v>
      </c>
      <c r="O765">
        <v>2</v>
      </c>
    </row>
    <row r="766" spans="1:15" x14ac:dyDescent="0.45">
      <c r="A766">
        <v>12</v>
      </c>
      <c r="B766" t="s">
        <v>74</v>
      </c>
      <c r="C766" t="str">
        <f t="shared" si="28"/>
        <v>AW12</v>
      </c>
      <c r="E766" s="19">
        <v>45820</v>
      </c>
      <c r="H766" t="s">
        <v>75</v>
      </c>
      <c r="I766" t="s">
        <v>78</v>
      </c>
      <c r="K766" t="s">
        <v>79</v>
      </c>
      <c r="L766">
        <v>2</v>
      </c>
      <c r="M766">
        <f t="shared" si="27"/>
        <v>3.1415926535897931</v>
      </c>
    </row>
    <row r="767" spans="1:15" x14ac:dyDescent="0.45">
      <c r="A767">
        <v>12</v>
      </c>
      <c r="B767" t="s">
        <v>74</v>
      </c>
      <c r="C767" t="str">
        <f t="shared" si="28"/>
        <v>AW12</v>
      </c>
      <c r="E767" s="19">
        <v>45820</v>
      </c>
      <c r="H767" t="s">
        <v>75</v>
      </c>
      <c r="I767" t="s">
        <v>80</v>
      </c>
      <c r="M767" t="str">
        <f t="shared" si="27"/>
        <v/>
      </c>
      <c r="N767">
        <v>3</v>
      </c>
    </row>
    <row r="768" spans="1:15" x14ac:dyDescent="0.45">
      <c r="A768">
        <v>12</v>
      </c>
      <c r="B768" t="s">
        <v>74</v>
      </c>
      <c r="C768" t="str">
        <f t="shared" si="28"/>
        <v>AW12</v>
      </c>
      <c r="E768" s="19">
        <v>45820</v>
      </c>
      <c r="H768" t="s">
        <v>81</v>
      </c>
      <c r="I768" t="s">
        <v>76</v>
      </c>
      <c r="M768" t="str">
        <f t="shared" si="27"/>
        <v/>
      </c>
      <c r="O768">
        <v>2</v>
      </c>
    </row>
    <row r="769" spans="1:16" x14ac:dyDescent="0.45">
      <c r="A769">
        <v>12</v>
      </c>
      <c r="B769" t="s">
        <v>74</v>
      </c>
      <c r="C769" t="str">
        <f t="shared" si="28"/>
        <v>AW12</v>
      </c>
      <c r="E769" s="19">
        <v>45820</v>
      </c>
      <c r="H769" t="s">
        <v>81</v>
      </c>
      <c r="I769" t="s">
        <v>78</v>
      </c>
      <c r="K769" t="s">
        <v>79</v>
      </c>
      <c r="L769">
        <v>4</v>
      </c>
      <c r="M769">
        <f t="shared" si="27"/>
        <v>12.566370614359172</v>
      </c>
      <c r="O769">
        <v>1</v>
      </c>
    </row>
    <row r="770" spans="1:16" x14ac:dyDescent="0.45">
      <c r="A770">
        <v>12</v>
      </c>
      <c r="B770" t="s">
        <v>74</v>
      </c>
      <c r="C770" t="str">
        <f t="shared" si="28"/>
        <v>AW12</v>
      </c>
      <c r="E770" s="19">
        <v>45820</v>
      </c>
      <c r="H770" t="s">
        <v>81</v>
      </c>
      <c r="I770" t="s">
        <v>78</v>
      </c>
      <c r="K770" t="s">
        <v>79</v>
      </c>
      <c r="L770">
        <v>2</v>
      </c>
      <c r="M770">
        <f t="shared" si="27"/>
        <v>3.1415926535897931</v>
      </c>
    </row>
    <row r="771" spans="1:16" x14ac:dyDescent="0.45">
      <c r="A771">
        <v>12</v>
      </c>
      <c r="B771" t="s">
        <v>74</v>
      </c>
      <c r="C771" t="str">
        <f t="shared" si="28"/>
        <v>AW12</v>
      </c>
      <c r="E771" s="19">
        <v>45820</v>
      </c>
      <c r="H771" t="s">
        <v>81</v>
      </c>
      <c r="I771" t="s">
        <v>78</v>
      </c>
      <c r="K771" t="s">
        <v>79</v>
      </c>
      <c r="L771">
        <v>2</v>
      </c>
      <c r="M771">
        <f t="shared" si="27"/>
        <v>3.1415926535897931</v>
      </c>
    </row>
    <row r="772" spans="1:16" x14ac:dyDescent="0.45">
      <c r="A772">
        <v>12</v>
      </c>
      <c r="B772" t="s">
        <v>74</v>
      </c>
      <c r="C772" t="str">
        <f t="shared" si="28"/>
        <v>AW12</v>
      </c>
      <c r="E772" s="19">
        <v>45820</v>
      </c>
      <c r="H772" t="s">
        <v>81</v>
      </c>
      <c r="I772" t="s">
        <v>78</v>
      </c>
      <c r="K772" t="s">
        <v>79</v>
      </c>
      <c r="L772">
        <v>2</v>
      </c>
      <c r="M772">
        <f t="shared" si="27"/>
        <v>3.1415926535897931</v>
      </c>
    </row>
    <row r="773" spans="1:16" x14ac:dyDescent="0.45">
      <c r="A773">
        <v>12</v>
      </c>
      <c r="B773" t="s">
        <v>74</v>
      </c>
      <c r="C773" t="str">
        <f t="shared" si="28"/>
        <v>AW12</v>
      </c>
      <c r="E773" s="19">
        <v>45820</v>
      </c>
      <c r="H773" t="s">
        <v>81</v>
      </c>
      <c r="I773" t="s">
        <v>78</v>
      </c>
      <c r="K773" t="s">
        <v>79</v>
      </c>
      <c r="L773">
        <v>2</v>
      </c>
      <c r="M773">
        <f t="shared" si="27"/>
        <v>3.1415926535897931</v>
      </c>
    </row>
    <row r="774" spans="1:16" x14ac:dyDescent="0.45">
      <c r="A774">
        <v>12</v>
      </c>
      <c r="B774" t="s">
        <v>74</v>
      </c>
      <c r="C774" t="str">
        <f t="shared" si="28"/>
        <v>AW12</v>
      </c>
      <c r="E774" s="19">
        <v>45820</v>
      </c>
      <c r="H774" t="s">
        <v>81</v>
      </c>
      <c r="I774" t="s">
        <v>80</v>
      </c>
      <c r="K774" t="s">
        <v>79</v>
      </c>
      <c r="L774">
        <v>0.5</v>
      </c>
      <c r="M774">
        <f t="shared" si="27"/>
        <v>0.19634954084936207</v>
      </c>
      <c r="N774">
        <v>2</v>
      </c>
    </row>
    <row r="775" spans="1:16" x14ac:dyDescent="0.45">
      <c r="A775">
        <v>12</v>
      </c>
      <c r="B775" t="s">
        <v>74</v>
      </c>
      <c r="C775" t="str">
        <f t="shared" si="28"/>
        <v>AW12</v>
      </c>
      <c r="E775" s="19">
        <v>45820</v>
      </c>
      <c r="H775" t="s">
        <v>81</v>
      </c>
      <c r="I775" t="s">
        <v>80</v>
      </c>
      <c r="K775" t="s">
        <v>79</v>
      </c>
      <c r="L775">
        <v>0.5</v>
      </c>
      <c r="M775">
        <f t="shared" si="27"/>
        <v>0.19634954084936207</v>
      </c>
    </row>
    <row r="776" spans="1:16" x14ac:dyDescent="0.45">
      <c r="A776">
        <v>12</v>
      </c>
      <c r="B776" t="s">
        <v>74</v>
      </c>
      <c r="C776" t="str">
        <f t="shared" si="28"/>
        <v>AW12</v>
      </c>
      <c r="E776" s="19">
        <v>45820</v>
      </c>
      <c r="H776" t="s">
        <v>81</v>
      </c>
      <c r="I776" t="s">
        <v>80</v>
      </c>
      <c r="K776" t="s">
        <v>79</v>
      </c>
      <c r="L776">
        <v>0.5</v>
      </c>
      <c r="M776">
        <f t="shared" si="27"/>
        <v>0.19634954084936207</v>
      </c>
    </row>
    <row r="777" spans="1:16" x14ac:dyDescent="0.45">
      <c r="A777">
        <v>12</v>
      </c>
      <c r="B777" t="s">
        <v>74</v>
      </c>
      <c r="C777" t="str">
        <f t="shared" si="28"/>
        <v>AW12</v>
      </c>
      <c r="E777" s="19">
        <v>45820</v>
      </c>
      <c r="H777" t="s">
        <v>81</v>
      </c>
      <c r="I777" t="s">
        <v>80</v>
      </c>
      <c r="K777" t="s">
        <v>79</v>
      </c>
      <c r="L777">
        <v>0.4</v>
      </c>
      <c r="M777">
        <f t="shared" si="27"/>
        <v>0.12566370614359174</v>
      </c>
    </row>
    <row r="778" spans="1:16" x14ac:dyDescent="0.45">
      <c r="A778">
        <v>12</v>
      </c>
      <c r="B778" t="s">
        <v>74</v>
      </c>
      <c r="C778" t="str">
        <f t="shared" si="28"/>
        <v>AW12</v>
      </c>
      <c r="E778" s="19">
        <v>45820</v>
      </c>
      <c r="G778" t="s">
        <v>111</v>
      </c>
      <c r="H778" t="s">
        <v>81</v>
      </c>
      <c r="I778" t="s">
        <v>80</v>
      </c>
      <c r="K778" t="s">
        <v>79</v>
      </c>
      <c r="L778">
        <v>0.2</v>
      </c>
      <c r="M778">
        <f t="shared" si="27"/>
        <v>3.1415926535897934E-2</v>
      </c>
    </row>
    <row r="779" spans="1:16" x14ac:dyDescent="0.45">
      <c r="A779">
        <v>13</v>
      </c>
      <c r="B779" t="s">
        <v>74</v>
      </c>
      <c r="C779" t="str">
        <f t="shared" si="28"/>
        <v>AW13</v>
      </c>
      <c r="E779" s="19">
        <v>45820</v>
      </c>
      <c r="G779" t="s">
        <v>108</v>
      </c>
      <c r="H779" t="s">
        <v>75</v>
      </c>
      <c r="I779" t="s">
        <v>76</v>
      </c>
      <c r="K779" t="s">
        <v>79</v>
      </c>
      <c r="L779">
        <v>1</v>
      </c>
      <c r="M779">
        <f t="shared" si="27"/>
        <v>0.78539816339744828</v>
      </c>
      <c r="O779">
        <v>2</v>
      </c>
    </row>
    <row r="780" spans="1:16" x14ac:dyDescent="0.45">
      <c r="A780">
        <v>13</v>
      </c>
      <c r="B780" t="s">
        <v>74</v>
      </c>
      <c r="C780" t="str">
        <f t="shared" si="28"/>
        <v>AW13</v>
      </c>
      <c r="E780" s="19">
        <v>45820</v>
      </c>
      <c r="G780" t="s">
        <v>108</v>
      </c>
      <c r="H780" t="s">
        <v>81</v>
      </c>
      <c r="M780" t="str">
        <f t="shared" si="27"/>
        <v/>
      </c>
      <c r="O780">
        <v>2</v>
      </c>
    </row>
    <row r="781" spans="1:16" x14ac:dyDescent="0.45">
      <c r="A781" s="11">
        <v>13</v>
      </c>
      <c r="B781" s="11" t="s">
        <v>90</v>
      </c>
      <c r="C781" t="str">
        <f t="shared" si="28"/>
        <v>AB13</v>
      </c>
      <c r="D781" s="11"/>
      <c r="E781" s="20">
        <v>45820</v>
      </c>
      <c r="F781" s="11"/>
      <c r="G781" s="11" t="s">
        <v>112</v>
      </c>
      <c r="H781" s="11" t="s">
        <v>75</v>
      </c>
      <c r="I781" s="11" t="s">
        <v>76</v>
      </c>
      <c r="J781" s="11"/>
      <c r="K781" s="11"/>
      <c r="L781" s="11"/>
      <c r="M781" s="11" t="str">
        <f t="shared" ref="M781:M844" si="29">IF(OR(L781="na", L781=""), "", IF(K781="mm", PI()*(L781/2)^2, IF(K781="ep", PI()*(L781/2)*(L781*(2/3)/2), "")))</f>
        <v/>
      </c>
      <c r="N781" s="11"/>
      <c r="O781" s="11">
        <v>15</v>
      </c>
      <c r="P781" s="11"/>
    </row>
    <row r="782" spans="1:16" x14ac:dyDescent="0.45">
      <c r="A782" s="11">
        <v>13</v>
      </c>
      <c r="B782" s="11" t="s">
        <v>90</v>
      </c>
      <c r="C782" t="str">
        <f t="shared" si="28"/>
        <v>AB13</v>
      </c>
      <c r="D782" s="11"/>
      <c r="E782" s="20">
        <v>45820</v>
      </c>
      <c r="F782" s="11"/>
      <c r="G782" s="11" t="s">
        <v>112</v>
      </c>
      <c r="H782" s="11" t="s">
        <v>75</v>
      </c>
      <c r="I782" s="11" t="s">
        <v>78</v>
      </c>
      <c r="J782" s="11"/>
      <c r="K782" s="11" t="s">
        <v>79</v>
      </c>
      <c r="L782" s="11">
        <v>0.8</v>
      </c>
      <c r="M782" s="11">
        <f t="shared" si="29"/>
        <v>0.50265482457436694</v>
      </c>
      <c r="N782" s="11"/>
      <c r="O782" s="11"/>
      <c r="P782" s="11"/>
    </row>
    <row r="783" spans="1:16" x14ac:dyDescent="0.45">
      <c r="A783" s="11">
        <v>13</v>
      </c>
      <c r="B783" s="11" t="s">
        <v>90</v>
      </c>
      <c r="C783" t="str">
        <f t="shared" si="28"/>
        <v>AB13</v>
      </c>
      <c r="D783" s="11"/>
      <c r="E783" s="20">
        <v>45820</v>
      </c>
      <c r="F783" s="11"/>
      <c r="G783" s="11" t="s">
        <v>112</v>
      </c>
      <c r="H783" s="11" t="s">
        <v>75</v>
      </c>
      <c r="I783" s="11" t="s">
        <v>78</v>
      </c>
      <c r="J783" s="11"/>
      <c r="K783" s="11" t="s">
        <v>79</v>
      </c>
      <c r="L783" s="11">
        <v>0.1</v>
      </c>
      <c r="M783" s="11">
        <f t="shared" si="29"/>
        <v>7.8539816339744835E-3</v>
      </c>
      <c r="N783" s="11"/>
      <c r="O783" s="11"/>
      <c r="P783" s="11"/>
    </row>
    <row r="784" spans="1:16" x14ac:dyDescent="0.45">
      <c r="A784" s="11">
        <v>13</v>
      </c>
      <c r="B784" s="11" t="s">
        <v>90</v>
      </c>
      <c r="C784" t="str">
        <f t="shared" si="28"/>
        <v>AB13</v>
      </c>
      <c r="D784" s="11"/>
      <c r="E784" s="20">
        <v>45820</v>
      </c>
      <c r="F784" s="11"/>
      <c r="G784" s="11" t="s">
        <v>112</v>
      </c>
      <c r="H784" s="11" t="s">
        <v>75</v>
      </c>
      <c r="I784" s="11" t="s">
        <v>78</v>
      </c>
      <c r="J784" s="11"/>
      <c r="K784" s="11" t="s">
        <v>79</v>
      </c>
      <c r="L784" s="11">
        <v>0.1</v>
      </c>
      <c r="M784" s="11">
        <f t="shared" si="29"/>
        <v>7.8539816339744835E-3</v>
      </c>
      <c r="N784" s="11"/>
      <c r="O784" s="11"/>
      <c r="P784" s="11"/>
    </row>
    <row r="785" spans="1:16" x14ac:dyDescent="0.45">
      <c r="A785" s="11">
        <v>13</v>
      </c>
      <c r="B785" s="11" t="s">
        <v>90</v>
      </c>
      <c r="C785" t="str">
        <f t="shared" si="28"/>
        <v>AB13</v>
      </c>
      <c r="D785" s="11"/>
      <c r="E785" s="20">
        <v>45820</v>
      </c>
      <c r="F785" s="11"/>
      <c r="G785" s="11" t="s">
        <v>112</v>
      </c>
      <c r="H785" s="11" t="s">
        <v>75</v>
      </c>
      <c r="I785" s="11" t="s">
        <v>78</v>
      </c>
      <c r="J785" s="11"/>
      <c r="K785" s="11" t="s">
        <v>79</v>
      </c>
      <c r="L785" s="11">
        <v>0.2</v>
      </c>
      <c r="M785" s="11">
        <f t="shared" si="29"/>
        <v>3.1415926535897934E-2</v>
      </c>
      <c r="N785" s="11"/>
      <c r="O785" s="11"/>
      <c r="P785" s="11"/>
    </row>
    <row r="786" spans="1:16" x14ac:dyDescent="0.45">
      <c r="A786" s="11">
        <v>13</v>
      </c>
      <c r="B786" s="11" t="s">
        <v>90</v>
      </c>
      <c r="C786" t="str">
        <f t="shared" si="28"/>
        <v>AB13</v>
      </c>
      <c r="D786" s="11"/>
      <c r="E786" s="20">
        <v>45820</v>
      </c>
      <c r="F786" s="11"/>
      <c r="G786" s="11" t="s">
        <v>112</v>
      </c>
      <c r="H786" s="11" t="s">
        <v>75</v>
      </c>
      <c r="I786" s="11" t="s">
        <v>78</v>
      </c>
      <c r="J786" s="11"/>
      <c r="K786" s="11" t="s">
        <v>79</v>
      </c>
      <c r="L786" s="11">
        <v>0.1</v>
      </c>
      <c r="M786" s="11">
        <f t="shared" si="29"/>
        <v>7.8539816339744835E-3</v>
      </c>
      <c r="N786" s="11"/>
      <c r="O786" s="11"/>
      <c r="P786" s="11"/>
    </row>
    <row r="787" spans="1:16" x14ac:dyDescent="0.45">
      <c r="A787" s="11">
        <v>13</v>
      </c>
      <c r="B787" s="11" t="s">
        <v>90</v>
      </c>
      <c r="C787" t="str">
        <f t="shared" si="28"/>
        <v>AB13</v>
      </c>
      <c r="D787" s="11"/>
      <c r="E787" s="20">
        <v>45820</v>
      </c>
      <c r="F787" s="11"/>
      <c r="G787" s="11" t="s">
        <v>112</v>
      </c>
      <c r="H787" s="11" t="s">
        <v>75</v>
      </c>
      <c r="I787" s="11" t="s">
        <v>78</v>
      </c>
      <c r="J787" s="11"/>
      <c r="K787" s="11" t="s">
        <v>79</v>
      </c>
      <c r="L787" s="11">
        <v>0.8</v>
      </c>
      <c r="M787" s="11">
        <f t="shared" si="29"/>
        <v>0.50265482457436694</v>
      </c>
      <c r="N787" s="11"/>
      <c r="O787" s="11"/>
      <c r="P787" s="11"/>
    </row>
    <row r="788" spans="1:16" x14ac:dyDescent="0.45">
      <c r="A788" s="11">
        <v>13</v>
      </c>
      <c r="B788" s="11" t="s">
        <v>90</v>
      </c>
      <c r="C788" t="str">
        <f t="shared" si="28"/>
        <v>AB13</v>
      </c>
      <c r="D788" s="11"/>
      <c r="E788" s="20">
        <v>45820</v>
      </c>
      <c r="F788" s="11"/>
      <c r="G788" s="11" t="s">
        <v>112</v>
      </c>
      <c r="H788" s="11" t="s">
        <v>75</v>
      </c>
      <c r="I788" s="11" t="s">
        <v>78</v>
      </c>
      <c r="J788" s="11"/>
      <c r="K788" s="11" t="s">
        <v>79</v>
      </c>
      <c r="L788" s="11">
        <v>0.6</v>
      </c>
      <c r="M788" s="11">
        <f t="shared" si="29"/>
        <v>0.28274333882308139</v>
      </c>
      <c r="N788" s="11"/>
      <c r="O788" s="11"/>
      <c r="P788" s="11"/>
    </row>
    <row r="789" spans="1:16" x14ac:dyDescent="0.45">
      <c r="A789" s="11">
        <v>13</v>
      </c>
      <c r="B789" s="11" t="s">
        <v>90</v>
      </c>
      <c r="C789" t="str">
        <f t="shared" si="28"/>
        <v>AB13</v>
      </c>
      <c r="D789" s="11"/>
      <c r="E789" s="20">
        <v>45820</v>
      </c>
      <c r="F789" s="11"/>
      <c r="G789" s="11" t="s">
        <v>112</v>
      </c>
      <c r="H789" s="11" t="s">
        <v>75</v>
      </c>
      <c r="I789" s="11" t="s">
        <v>78</v>
      </c>
      <c r="J789" s="11"/>
      <c r="K789" s="11" t="s">
        <v>79</v>
      </c>
      <c r="L789" s="11">
        <v>0.4</v>
      </c>
      <c r="M789" s="11">
        <f t="shared" si="29"/>
        <v>0.12566370614359174</v>
      </c>
      <c r="N789" s="11"/>
      <c r="O789" s="11"/>
      <c r="P789" s="11"/>
    </row>
    <row r="790" spans="1:16" x14ac:dyDescent="0.45">
      <c r="A790" s="11">
        <v>13</v>
      </c>
      <c r="B790" s="11" t="s">
        <v>90</v>
      </c>
      <c r="C790" t="str">
        <f t="shared" si="28"/>
        <v>AB13</v>
      </c>
      <c r="D790" s="11"/>
      <c r="E790" s="20">
        <v>45820</v>
      </c>
      <c r="F790" s="11"/>
      <c r="G790" s="11" t="s">
        <v>112</v>
      </c>
      <c r="H790" s="11" t="s">
        <v>75</v>
      </c>
      <c r="I790" s="11" t="s">
        <v>78</v>
      </c>
      <c r="J790" s="11"/>
      <c r="K790" s="11" t="s">
        <v>79</v>
      </c>
      <c r="L790" s="11">
        <v>0.6</v>
      </c>
      <c r="M790" s="11">
        <f t="shared" si="29"/>
        <v>0.28274333882308139</v>
      </c>
      <c r="N790" s="11"/>
      <c r="O790" s="11"/>
      <c r="P790" s="11"/>
    </row>
    <row r="791" spans="1:16" x14ac:dyDescent="0.45">
      <c r="A791" s="11">
        <v>13</v>
      </c>
      <c r="B791" s="11" t="s">
        <v>90</v>
      </c>
      <c r="C791" t="str">
        <f t="shared" si="28"/>
        <v>AB13</v>
      </c>
      <c r="D791" s="11"/>
      <c r="E791" s="20">
        <v>45820</v>
      </c>
      <c r="F791" s="11"/>
      <c r="G791" s="11" t="s">
        <v>112</v>
      </c>
      <c r="H791" s="11" t="s">
        <v>75</v>
      </c>
      <c r="I791" s="11" t="s">
        <v>78</v>
      </c>
      <c r="J791" s="11"/>
      <c r="K791" s="11" t="s">
        <v>79</v>
      </c>
      <c r="L791" s="11">
        <v>1.2</v>
      </c>
      <c r="M791" s="11">
        <f t="shared" si="29"/>
        <v>1.1309733552923256</v>
      </c>
      <c r="N791" s="11"/>
      <c r="O791" s="11"/>
      <c r="P791" s="11"/>
    </row>
    <row r="792" spans="1:16" x14ac:dyDescent="0.45">
      <c r="A792" s="11">
        <v>13</v>
      </c>
      <c r="B792" s="11" t="s">
        <v>90</v>
      </c>
      <c r="C792" t="str">
        <f t="shared" si="28"/>
        <v>AB13</v>
      </c>
      <c r="D792" s="11"/>
      <c r="E792" s="20">
        <v>45820</v>
      </c>
      <c r="F792" s="11"/>
      <c r="G792" s="11" t="s">
        <v>112</v>
      </c>
      <c r="H792" s="11" t="s">
        <v>75</v>
      </c>
      <c r="I792" s="11" t="s">
        <v>78</v>
      </c>
      <c r="J792" s="11"/>
      <c r="K792" s="11" t="s">
        <v>79</v>
      </c>
      <c r="L792" s="11">
        <v>1.5</v>
      </c>
      <c r="M792" s="11">
        <f t="shared" si="29"/>
        <v>1.7671458676442586</v>
      </c>
      <c r="N792" s="11"/>
      <c r="O792" s="11"/>
      <c r="P792" s="11"/>
    </row>
    <row r="793" spans="1:16" x14ac:dyDescent="0.45">
      <c r="A793" s="11">
        <v>13</v>
      </c>
      <c r="B793" s="11" t="s">
        <v>90</v>
      </c>
      <c r="C793" t="str">
        <f t="shared" si="28"/>
        <v>AB13</v>
      </c>
      <c r="D793" s="11"/>
      <c r="E793" s="20">
        <v>45820</v>
      </c>
      <c r="F793" s="11"/>
      <c r="G793" s="11" t="s">
        <v>112</v>
      </c>
      <c r="H793" s="11" t="s">
        <v>75</v>
      </c>
      <c r="I793" s="11" t="s">
        <v>80</v>
      </c>
      <c r="J793" s="11"/>
      <c r="K793" s="11" t="s">
        <v>79</v>
      </c>
      <c r="L793" s="11">
        <v>0.2</v>
      </c>
      <c r="M793" s="11">
        <f t="shared" si="29"/>
        <v>3.1415926535897934E-2</v>
      </c>
      <c r="N793" s="11">
        <v>10</v>
      </c>
      <c r="O793" s="11"/>
      <c r="P793" s="11"/>
    </row>
    <row r="794" spans="1:16" x14ac:dyDescent="0.45">
      <c r="A794" s="11">
        <v>13</v>
      </c>
      <c r="B794" s="11" t="s">
        <v>90</v>
      </c>
      <c r="C794" t="str">
        <f t="shared" si="28"/>
        <v>AB13</v>
      </c>
      <c r="D794" s="11"/>
      <c r="E794" s="20">
        <v>45820</v>
      </c>
      <c r="F794" s="11"/>
      <c r="G794" s="11" t="s">
        <v>112</v>
      </c>
      <c r="H794" s="11" t="s">
        <v>75</v>
      </c>
      <c r="I794" s="11" t="s">
        <v>80</v>
      </c>
      <c r="J794" s="11"/>
      <c r="K794" s="11" t="s">
        <v>79</v>
      </c>
      <c r="L794" s="11">
        <v>0.1</v>
      </c>
      <c r="M794" s="11">
        <f t="shared" si="29"/>
        <v>7.8539816339744835E-3</v>
      </c>
      <c r="N794" s="11"/>
      <c r="O794" s="11"/>
      <c r="P794" s="11"/>
    </row>
    <row r="795" spans="1:16" x14ac:dyDescent="0.45">
      <c r="A795" s="11">
        <v>13</v>
      </c>
      <c r="B795" s="11" t="s">
        <v>90</v>
      </c>
      <c r="C795" t="str">
        <f t="shared" si="28"/>
        <v>AB13</v>
      </c>
      <c r="D795" s="11"/>
      <c r="E795" s="20">
        <v>45820</v>
      </c>
      <c r="F795" s="11"/>
      <c r="G795" s="11" t="s">
        <v>112</v>
      </c>
      <c r="H795" s="11" t="s">
        <v>75</v>
      </c>
      <c r="I795" s="11" t="s">
        <v>80</v>
      </c>
      <c r="J795" s="11"/>
      <c r="K795" s="11" t="s">
        <v>79</v>
      </c>
      <c r="L795" s="11">
        <v>0.4</v>
      </c>
      <c r="M795" s="11">
        <f t="shared" si="29"/>
        <v>0.12566370614359174</v>
      </c>
      <c r="N795" s="11"/>
      <c r="O795" s="11"/>
      <c r="P795" s="11"/>
    </row>
    <row r="796" spans="1:16" x14ac:dyDescent="0.45">
      <c r="A796" s="11">
        <v>13</v>
      </c>
      <c r="B796" s="11" t="s">
        <v>90</v>
      </c>
      <c r="C796" t="str">
        <f t="shared" si="28"/>
        <v>AB13</v>
      </c>
      <c r="D796" s="11"/>
      <c r="E796" s="20">
        <v>45820</v>
      </c>
      <c r="F796" s="11"/>
      <c r="G796" s="11" t="s">
        <v>112</v>
      </c>
      <c r="H796" s="11" t="s">
        <v>75</v>
      </c>
      <c r="I796" s="11" t="s">
        <v>80</v>
      </c>
      <c r="J796" s="11"/>
      <c r="K796" s="11" t="s">
        <v>79</v>
      </c>
      <c r="L796" s="11">
        <v>0.5</v>
      </c>
      <c r="M796" s="11">
        <f t="shared" si="29"/>
        <v>0.19634954084936207</v>
      </c>
      <c r="N796" s="11"/>
      <c r="O796" s="11"/>
      <c r="P796" s="11"/>
    </row>
    <row r="797" spans="1:16" x14ac:dyDescent="0.45">
      <c r="A797" s="11">
        <v>13</v>
      </c>
      <c r="B797" s="11" t="s">
        <v>90</v>
      </c>
      <c r="C797" t="str">
        <f t="shared" si="28"/>
        <v>AB13</v>
      </c>
      <c r="D797" s="11"/>
      <c r="E797" s="20">
        <v>45820</v>
      </c>
      <c r="F797" s="11"/>
      <c r="G797" s="11" t="s">
        <v>112</v>
      </c>
      <c r="H797" s="11" t="s">
        <v>75</v>
      </c>
      <c r="I797" s="11" t="s">
        <v>80</v>
      </c>
      <c r="J797" s="11"/>
      <c r="K797" s="11" t="s">
        <v>79</v>
      </c>
      <c r="L797" s="11">
        <v>0.2</v>
      </c>
      <c r="M797" s="11">
        <f t="shared" si="29"/>
        <v>3.1415926535897934E-2</v>
      </c>
      <c r="N797" s="11"/>
      <c r="O797" s="11"/>
      <c r="P797" s="11"/>
    </row>
    <row r="798" spans="1:16" x14ac:dyDescent="0.45">
      <c r="A798" s="11">
        <v>13</v>
      </c>
      <c r="B798" s="11" t="s">
        <v>90</v>
      </c>
      <c r="C798" t="str">
        <f t="shared" si="28"/>
        <v>AB13</v>
      </c>
      <c r="D798" s="11"/>
      <c r="E798" s="20">
        <v>45820</v>
      </c>
      <c r="F798" s="11"/>
      <c r="G798" s="11" t="s">
        <v>112</v>
      </c>
      <c r="H798" s="11" t="s">
        <v>75</v>
      </c>
      <c r="I798" s="11" t="s">
        <v>80</v>
      </c>
      <c r="J798" s="11"/>
      <c r="K798" s="11" t="s">
        <v>79</v>
      </c>
      <c r="L798" s="11">
        <v>0.2</v>
      </c>
      <c r="M798" s="11">
        <f t="shared" si="29"/>
        <v>3.1415926535897934E-2</v>
      </c>
      <c r="N798" s="11"/>
      <c r="O798" s="11"/>
      <c r="P798" s="11"/>
    </row>
    <row r="799" spans="1:16" x14ac:dyDescent="0.45">
      <c r="A799" s="11">
        <v>13</v>
      </c>
      <c r="B799" s="11" t="s">
        <v>90</v>
      </c>
      <c r="C799" t="str">
        <f t="shared" si="28"/>
        <v>AB13</v>
      </c>
      <c r="D799" s="11"/>
      <c r="E799" s="20">
        <v>45820</v>
      </c>
      <c r="F799" s="11"/>
      <c r="G799" s="11" t="s">
        <v>112</v>
      </c>
      <c r="H799" s="11" t="s">
        <v>75</v>
      </c>
      <c r="I799" s="11" t="s">
        <v>80</v>
      </c>
      <c r="J799" s="11"/>
      <c r="K799" s="11" t="s">
        <v>79</v>
      </c>
      <c r="L799" s="11">
        <v>0.2</v>
      </c>
      <c r="M799" s="11">
        <f t="shared" si="29"/>
        <v>3.1415926535897934E-2</v>
      </c>
      <c r="N799" s="11"/>
      <c r="O799" s="11"/>
      <c r="P799" s="11"/>
    </row>
    <row r="800" spans="1:16" x14ac:dyDescent="0.45">
      <c r="A800" s="11">
        <v>13</v>
      </c>
      <c r="B800" s="11" t="s">
        <v>90</v>
      </c>
      <c r="C800" t="str">
        <f t="shared" si="28"/>
        <v>AB13</v>
      </c>
      <c r="D800" s="11"/>
      <c r="E800" s="20">
        <v>45820</v>
      </c>
      <c r="F800" s="11"/>
      <c r="G800" s="11" t="s">
        <v>112</v>
      </c>
      <c r="H800" s="11" t="s">
        <v>81</v>
      </c>
      <c r="I800" s="11" t="s">
        <v>76</v>
      </c>
      <c r="J800" s="11"/>
      <c r="K800" s="11"/>
      <c r="L800" s="11"/>
      <c r="M800" s="11" t="str">
        <f t="shared" si="29"/>
        <v/>
      </c>
      <c r="N800" s="11"/>
      <c r="O800" s="11">
        <v>1</v>
      </c>
      <c r="P800" s="11"/>
    </row>
    <row r="801" spans="1:16" x14ac:dyDescent="0.45">
      <c r="A801" s="11">
        <v>13</v>
      </c>
      <c r="B801" s="11" t="s">
        <v>90</v>
      </c>
      <c r="C801" t="str">
        <f t="shared" si="28"/>
        <v>AB13</v>
      </c>
      <c r="D801" s="11"/>
      <c r="E801" s="20">
        <v>45820</v>
      </c>
      <c r="F801" s="11"/>
      <c r="G801" s="11" t="s">
        <v>112</v>
      </c>
      <c r="H801" s="11" t="s">
        <v>81</v>
      </c>
      <c r="I801" s="11" t="s">
        <v>78</v>
      </c>
      <c r="J801" s="11"/>
      <c r="K801" s="11" t="s">
        <v>79</v>
      </c>
      <c r="L801" s="11">
        <v>0.2</v>
      </c>
      <c r="M801" s="11">
        <f t="shared" si="29"/>
        <v>3.1415926535897934E-2</v>
      </c>
      <c r="N801" s="11">
        <v>2</v>
      </c>
      <c r="O801" s="11">
        <v>1</v>
      </c>
      <c r="P801" s="11"/>
    </row>
    <row r="802" spans="1:16" x14ac:dyDescent="0.45">
      <c r="A802" s="11">
        <v>13</v>
      </c>
      <c r="B802" s="11" t="s">
        <v>90</v>
      </c>
      <c r="C802" t="str">
        <f t="shared" si="28"/>
        <v>AB13</v>
      </c>
      <c r="D802" s="11"/>
      <c r="E802" s="20">
        <v>45820</v>
      </c>
      <c r="F802" s="11"/>
      <c r="G802" s="11" t="s">
        <v>112</v>
      </c>
      <c r="H802" s="11" t="s">
        <v>81</v>
      </c>
      <c r="I802" s="11" t="s">
        <v>78</v>
      </c>
      <c r="J802" s="11"/>
      <c r="K802" s="11" t="s">
        <v>79</v>
      </c>
      <c r="L802" s="11">
        <v>0.3</v>
      </c>
      <c r="M802" s="11">
        <f t="shared" si="29"/>
        <v>7.0685834705770348E-2</v>
      </c>
      <c r="N802" s="11"/>
      <c r="O802" s="11"/>
      <c r="P802" s="11"/>
    </row>
    <row r="803" spans="1:16" x14ac:dyDescent="0.45">
      <c r="A803" s="11">
        <v>13</v>
      </c>
      <c r="B803" s="11" t="s">
        <v>90</v>
      </c>
      <c r="C803" t="str">
        <f t="shared" si="28"/>
        <v>AB13</v>
      </c>
      <c r="D803" s="11"/>
      <c r="E803" s="20">
        <v>45820</v>
      </c>
      <c r="F803" s="11"/>
      <c r="G803" s="11" t="s">
        <v>112</v>
      </c>
      <c r="H803" s="11" t="s">
        <v>81</v>
      </c>
      <c r="I803" s="11" t="s">
        <v>78</v>
      </c>
      <c r="J803" s="11"/>
      <c r="K803" s="11" t="s">
        <v>79</v>
      </c>
      <c r="L803" s="11">
        <v>0.3</v>
      </c>
      <c r="M803" s="11">
        <f t="shared" si="29"/>
        <v>7.0685834705770348E-2</v>
      </c>
      <c r="N803" s="11"/>
      <c r="O803" s="11"/>
      <c r="P803" s="11"/>
    </row>
    <row r="804" spans="1:16" x14ac:dyDescent="0.45">
      <c r="A804" s="11">
        <v>13</v>
      </c>
      <c r="B804" s="11" t="s">
        <v>90</v>
      </c>
      <c r="C804" t="str">
        <f t="shared" si="28"/>
        <v>AB13</v>
      </c>
      <c r="D804" s="11"/>
      <c r="E804" s="20">
        <v>45820</v>
      </c>
      <c r="F804" s="11"/>
      <c r="G804" s="11" t="s">
        <v>112</v>
      </c>
      <c r="H804" s="11" t="s">
        <v>81</v>
      </c>
      <c r="I804" s="11" t="s">
        <v>80</v>
      </c>
      <c r="J804" s="11"/>
      <c r="K804" s="11" t="s">
        <v>77</v>
      </c>
      <c r="L804" s="11">
        <v>1.2</v>
      </c>
      <c r="M804" s="11">
        <f t="shared" si="29"/>
        <v>0.7539822368615503</v>
      </c>
      <c r="N804" s="11">
        <v>6</v>
      </c>
      <c r="O804" s="11"/>
      <c r="P804" s="11"/>
    </row>
    <row r="805" spans="1:16" x14ac:dyDescent="0.45">
      <c r="A805" s="11">
        <v>13</v>
      </c>
      <c r="B805" s="11" t="s">
        <v>90</v>
      </c>
      <c r="C805" t="str">
        <f t="shared" si="28"/>
        <v>AB13</v>
      </c>
      <c r="D805" s="11"/>
      <c r="E805" s="20">
        <v>45820</v>
      </c>
      <c r="F805" s="11"/>
      <c r="G805" s="11" t="s">
        <v>112</v>
      </c>
      <c r="H805" s="11" t="s">
        <v>81</v>
      </c>
      <c r="I805" s="11" t="s">
        <v>80</v>
      </c>
      <c r="J805" s="11"/>
      <c r="K805" s="11" t="s">
        <v>77</v>
      </c>
      <c r="L805" s="11">
        <v>1.1000000000000001</v>
      </c>
      <c r="M805" s="11">
        <f t="shared" si="29"/>
        <v>0.63355451847394173</v>
      </c>
      <c r="N805" s="11"/>
      <c r="O805" s="11"/>
      <c r="P805" s="11"/>
    </row>
    <row r="806" spans="1:16" x14ac:dyDescent="0.45">
      <c r="A806" s="11">
        <v>14</v>
      </c>
      <c r="B806" s="11" t="s">
        <v>90</v>
      </c>
      <c r="C806" t="str">
        <f t="shared" si="28"/>
        <v>AB14</v>
      </c>
      <c r="D806" s="11"/>
      <c r="E806" s="20">
        <v>45820</v>
      </c>
      <c r="F806" s="11"/>
      <c r="G806" s="11" t="s">
        <v>112</v>
      </c>
      <c r="H806" s="11" t="s">
        <v>75</v>
      </c>
      <c r="I806" s="11" t="s">
        <v>76</v>
      </c>
      <c r="J806" s="11"/>
      <c r="K806" s="11" t="s">
        <v>79</v>
      </c>
      <c r="L806" s="11">
        <v>2</v>
      </c>
      <c r="M806" s="11">
        <f t="shared" si="29"/>
        <v>3.1415926535897931</v>
      </c>
      <c r="N806" s="11"/>
      <c r="O806" s="11">
        <v>3</v>
      </c>
      <c r="P806" s="11"/>
    </row>
    <row r="807" spans="1:16" x14ac:dyDescent="0.45">
      <c r="A807" s="11">
        <v>14</v>
      </c>
      <c r="B807" s="11" t="s">
        <v>90</v>
      </c>
      <c r="C807" t="str">
        <f t="shared" si="28"/>
        <v>AB14</v>
      </c>
      <c r="D807" s="11"/>
      <c r="E807" s="20">
        <v>45820</v>
      </c>
      <c r="F807" s="11"/>
      <c r="G807" s="11" t="s">
        <v>112</v>
      </c>
      <c r="H807" s="11" t="s">
        <v>75</v>
      </c>
      <c r="I807" s="11" t="s">
        <v>78</v>
      </c>
      <c r="J807" s="11"/>
      <c r="K807" s="11" t="s">
        <v>79</v>
      </c>
      <c r="L807" s="11">
        <v>1.5</v>
      </c>
      <c r="M807" s="11">
        <f t="shared" si="29"/>
        <v>1.7671458676442586</v>
      </c>
      <c r="N807" s="11">
        <v>4</v>
      </c>
      <c r="O807" s="11">
        <v>2</v>
      </c>
      <c r="P807" s="11"/>
    </row>
    <row r="808" spans="1:16" x14ac:dyDescent="0.45">
      <c r="A808" s="11">
        <v>14</v>
      </c>
      <c r="B808" s="11" t="s">
        <v>90</v>
      </c>
      <c r="C808" t="str">
        <f t="shared" si="28"/>
        <v>AB14</v>
      </c>
      <c r="D808" s="11"/>
      <c r="E808" s="20">
        <v>45820</v>
      </c>
      <c r="F808" s="11"/>
      <c r="G808" s="11" t="s">
        <v>112</v>
      </c>
      <c r="H808" s="11" t="s">
        <v>75</v>
      </c>
      <c r="I808" s="11" t="s">
        <v>78</v>
      </c>
      <c r="J808" s="11"/>
      <c r="K808" s="11" t="s">
        <v>77</v>
      </c>
      <c r="L808" s="11">
        <v>1.1000000000000001</v>
      </c>
      <c r="M808" s="11">
        <f t="shared" si="29"/>
        <v>0.63355451847394173</v>
      </c>
      <c r="N808" s="11"/>
      <c r="O808" s="11"/>
      <c r="P808" s="11"/>
    </row>
    <row r="809" spans="1:16" x14ac:dyDescent="0.45">
      <c r="A809" s="11">
        <v>14</v>
      </c>
      <c r="B809" s="11" t="s">
        <v>90</v>
      </c>
      <c r="C809" t="str">
        <f t="shared" si="28"/>
        <v>AB14</v>
      </c>
      <c r="D809" s="11"/>
      <c r="E809" s="20">
        <v>45820</v>
      </c>
      <c r="F809" s="11"/>
      <c r="G809" s="11" t="s">
        <v>112</v>
      </c>
      <c r="H809" s="11" t="s">
        <v>75</v>
      </c>
      <c r="I809" s="11" t="s">
        <v>80</v>
      </c>
      <c r="J809" s="11"/>
      <c r="K809" s="11" t="s">
        <v>79</v>
      </c>
      <c r="L809" s="11">
        <v>0.4</v>
      </c>
      <c r="M809" s="11">
        <f t="shared" si="29"/>
        <v>0.12566370614359174</v>
      </c>
      <c r="N809" s="11"/>
      <c r="O809" s="11"/>
      <c r="P809" s="11"/>
    </row>
    <row r="810" spans="1:16" x14ac:dyDescent="0.45">
      <c r="A810" s="11">
        <v>14</v>
      </c>
      <c r="B810" s="11" t="s">
        <v>90</v>
      </c>
      <c r="C810" t="str">
        <f t="shared" si="28"/>
        <v>AB14</v>
      </c>
      <c r="D810" s="11"/>
      <c r="E810" s="20">
        <v>45820</v>
      </c>
      <c r="F810" s="11"/>
      <c r="G810" s="11" t="s">
        <v>112</v>
      </c>
      <c r="H810" s="11" t="s">
        <v>75</v>
      </c>
      <c r="I810" s="11" t="s">
        <v>80</v>
      </c>
      <c r="J810" s="11"/>
      <c r="K810" s="11" t="s">
        <v>79</v>
      </c>
      <c r="L810" s="11">
        <v>0.5</v>
      </c>
      <c r="M810" s="11">
        <f t="shared" si="29"/>
        <v>0.19634954084936207</v>
      </c>
      <c r="N810" s="11"/>
      <c r="O810" s="11"/>
      <c r="P810" s="11"/>
    </row>
    <row r="811" spans="1:16" x14ac:dyDescent="0.45">
      <c r="A811" s="11">
        <v>14</v>
      </c>
      <c r="B811" s="11" t="s">
        <v>90</v>
      </c>
      <c r="C811" t="str">
        <f t="shared" si="28"/>
        <v>AB14</v>
      </c>
      <c r="D811" s="11"/>
      <c r="E811" s="20">
        <v>45820</v>
      </c>
      <c r="F811" s="11"/>
      <c r="G811" s="11" t="s">
        <v>112</v>
      </c>
      <c r="H811" s="11" t="s">
        <v>81</v>
      </c>
      <c r="I811" s="11" t="s">
        <v>76</v>
      </c>
      <c r="J811" s="11"/>
      <c r="K811" s="11" t="s">
        <v>79</v>
      </c>
      <c r="L811" s="11">
        <v>0.3</v>
      </c>
      <c r="M811" s="11">
        <f t="shared" si="29"/>
        <v>7.0685834705770348E-2</v>
      </c>
      <c r="N811" s="11"/>
      <c r="O811" s="11">
        <v>1</v>
      </c>
      <c r="P811" s="11"/>
    </row>
    <row r="812" spans="1:16" x14ac:dyDescent="0.45">
      <c r="A812" s="11">
        <v>14</v>
      </c>
      <c r="B812" s="11" t="s">
        <v>90</v>
      </c>
      <c r="C812" t="str">
        <f t="shared" si="28"/>
        <v>AB14</v>
      </c>
      <c r="D812" s="11"/>
      <c r="E812" s="20">
        <v>45820</v>
      </c>
      <c r="F812" s="11"/>
      <c r="G812" s="11" t="s">
        <v>112</v>
      </c>
      <c r="H812" s="11" t="s">
        <v>81</v>
      </c>
      <c r="I812" s="11" t="s">
        <v>78</v>
      </c>
      <c r="J812" s="11"/>
      <c r="K812" s="11" t="s">
        <v>79</v>
      </c>
      <c r="L812" s="11">
        <v>1.2</v>
      </c>
      <c r="M812" s="11">
        <f t="shared" si="29"/>
        <v>1.1309733552923256</v>
      </c>
      <c r="N812" s="11">
        <v>10</v>
      </c>
      <c r="O812" s="11">
        <v>2</v>
      </c>
      <c r="P812" s="11"/>
    </row>
    <row r="813" spans="1:16" x14ac:dyDescent="0.45">
      <c r="A813" s="11">
        <v>14</v>
      </c>
      <c r="B813" s="11" t="s">
        <v>90</v>
      </c>
      <c r="C813" t="str">
        <f t="shared" si="28"/>
        <v>AB14</v>
      </c>
      <c r="D813" s="11"/>
      <c r="E813" s="20">
        <v>45820</v>
      </c>
      <c r="F813" s="11"/>
      <c r="G813" s="11" t="s">
        <v>112</v>
      </c>
      <c r="H813" s="11" t="s">
        <v>81</v>
      </c>
      <c r="I813" s="11" t="s">
        <v>78</v>
      </c>
      <c r="J813" s="11"/>
      <c r="K813" s="11" t="s">
        <v>79</v>
      </c>
      <c r="L813" s="11">
        <v>1.4</v>
      </c>
      <c r="M813" s="11">
        <f t="shared" si="29"/>
        <v>1.5393804002589984</v>
      </c>
      <c r="N813" s="11"/>
      <c r="O813" s="11"/>
      <c r="P813" s="11"/>
    </row>
    <row r="814" spans="1:16" x14ac:dyDescent="0.45">
      <c r="A814" s="11">
        <v>14</v>
      </c>
      <c r="B814" s="11" t="s">
        <v>90</v>
      </c>
      <c r="C814" t="str">
        <f t="shared" si="28"/>
        <v>AB14</v>
      </c>
      <c r="D814" s="11"/>
      <c r="E814" s="20">
        <v>45820</v>
      </c>
      <c r="F814" s="11"/>
      <c r="G814" s="11" t="s">
        <v>112</v>
      </c>
      <c r="H814" s="11" t="s">
        <v>81</v>
      </c>
      <c r="I814" s="11" t="s">
        <v>78</v>
      </c>
      <c r="J814" s="11"/>
      <c r="K814" s="11" t="s">
        <v>79</v>
      </c>
      <c r="L814" s="11">
        <v>0.4</v>
      </c>
      <c r="M814" s="11">
        <f t="shared" si="29"/>
        <v>0.12566370614359174</v>
      </c>
      <c r="N814" s="11"/>
      <c r="O814" s="11"/>
      <c r="P814" s="11"/>
    </row>
    <row r="815" spans="1:16" x14ac:dyDescent="0.45">
      <c r="A815" s="11">
        <v>14</v>
      </c>
      <c r="B815" s="11" t="s">
        <v>90</v>
      </c>
      <c r="C815" t="str">
        <f t="shared" si="28"/>
        <v>AB14</v>
      </c>
      <c r="D815" s="11"/>
      <c r="E815" s="20">
        <v>45820</v>
      </c>
      <c r="F815" s="11"/>
      <c r="G815" s="11" t="s">
        <v>112</v>
      </c>
      <c r="H815" s="11" t="s">
        <v>81</v>
      </c>
      <c r="I815" s="11" t="s">
        <v>78</v>
      </c>
      <c r="J815" s="11"/>
      <c r="K815" s="11" t="s">
        <v>79</v>
      </c>
      <c r="L815" s="11">
        <v>0.3</v>
      </c>
      <c r="M815" s="11">
        <f t="shared" si="29"/>
        <v>7.0685834705770348E-2</v>
      </c>
      <c r="N815" s="11"/>
      <c r="O815" s="11"/>
      <c r="P815" s="11"/>
    </row>
    <row r="816" spans="1:16" x14ac:dyDescent="0.45">
      <c r="A816" s="11">
        <v>14</v>
      </c>
      <c r="B816" s="11" t="s">
        <v>90</v>
      </c>
      <c r="C816" t="str">
        <f t="shared" si="28"/>
        <v>AB14</v>
      </c>
      <c r="D816" s="11"/>
      <c r="E816" s="20">
        <v>45820</v>
      </c>
      <c r="F816" s="11"/>
      <c r="G816" s="11" t="s">
        <v>112</v>
      </c>
      <c r="H816" s="11" t="s">
        <v>81</v>
      </c>
      <c r="I816" s="11" t="s">
        <v>78</v>
      </c>
      <c r="J816" s="11"/>
      <c r="K816" s="11" t="s">
        <v>79</v>
      </c>
      <c r="L816" s="11">
        <v>0.2</v>
      </c>
      <c r="M816" s="11">
        <f t="shared" si="29"/>
        <v>3.1415926535897934E-2</v>
      </c>
      <c r="N816" s="11"/>
      <c r="O816" s="11"/>
      <c r="P816" s="11"/>
    </row>
    <row r="817" spans="1:16" x14ac:dyDescent="0.45">
      <c r="A817" s="11">
        <v>14</v>
      </c>
      <c r="B817" s="11" t="s">
        <v>90</v>
      </c>
      <c r="C817" t="str">
        <f t="shared" si="28"/>
        <v>AB14</v>
      </c>
      <c r="D817" s="11"/>
      <c r="E817" s="20">
        <v>45820</v>
      </c>
      <c r="F817" s="11"/>
      <c r="G817" s="11" t="s">
        <v>112</v>
      </c>
      <c r="H817" s="11" t="s">
        <v>81</v>
      </c>
      <c r="I817" s="11" t="s">
        <v>78</v>
      </c>
      <c r="J817" s="11"/>
      <c r="K817" s="11" t="s">
        <v>79</v>
      </c>
      <c r="L817" s="11">
        <v>0.1</v>
      </c>
      <c r="M817" s="11">
        <f t="shared" si="29"/>
        <v>7.8539816339744835E-3</v>
      </c>
      <c r="N817" s="11"/>
      <c r="O817" s="11"/>
      <c r="P817" s="11"/>
    </row>
    <row r="818" spans="1:16" x14ac:dyDescent="0.45">
      <c r="A818" s="11">
        <v>14</v>
      </c>
      <c r="B818" s="11" t="s">
        <v>90</v>
      </c>
      <c r="C818" t="str">
        <f t="shared" si="28"/>
        <v>AB14</v>
      </c>
      <c r="D818" s="11"/>
      <c r="E818" s="20">
        <v>45820</v>
      </c>
      <c r="F818" s="11"/>
      <c r="G818" s="11" t="s">
        <v>112</v>
      </c>
      <c r="H818" s="11" t="s">
        <v>81</v>
      </c>
      <c r="I818" s="11" t="s">
        <v>78</v>
      </c>
      <c r="J818" s="11"/>
      <c r="K818" s="11" t="s">
        <v>79</v>
      </c>
      <c r="L818" s="11">
        <v>0.2</v>
      </c>
      <c r="M818" s="11">
        <f t="shared" si="29"/>
        <v>3.1415926535897934E-2</v>
      </c>
      <c r="N818" s="11"/>
      <c r="O818" s="11"/>
      <c r="P818" s="11"/>
    </row>
    <row r="819" spans="1:16" x14ac:dyDescent="0.45">
      <c r="A819" s="11">
        <v>14</v>
      </c>
      <c r="B819" s="11" t="s">
        <v>90</v>
      </c>
      <c r="C819" t="str">
        <f t="shared" si="28"/>
        <v>AB14</v>
      </c>
      <c r="D819" s="11"/>
      <c r="E819" s="20">
        <v>45820</v>
      </c>
      <c r="F819" s="11"/>
      <c r="G819" s="11" t="s">
        <v>112</v>
      </c>
      <c r="H819" s="11" t="s">
        <v>81</v>
      </c>
      <c r="I819" s="11" t="s">
        <v>78</v>
      </c>
      <c r="J819" s="11"/>
      <c r="K819" s="11" t="s">
        <v>79</v>
      </c>
      <c r="L819" s="11">
        <v>0.1</v>
      </c>
      <c r="M819" s="11">
        <f t="shared" si="29"/>
        <v>7.8539816339744835E-3</v>
      </c>
      <c r="N819" s="11"/>
      <c r="O819" s="11"/>
      <c r="P819" s="11"/>
    </row>
    <row r="820" spans="1:16" x14ac:dyDescent="0.45">
      <c r="A820" s="11">
        <v>14</v>
      </c>
      <c r="B820" s="11" t="s">
        <v>90</v>
      </c>
      <c r="C820" t="str">
        <f t="shared" si="28"/>
        <v>AB14</v>
      </c>
      <c r="D820" s="11"/>
      <c r="E820" s="20">
        <v>45820</v>
      </c>
      <c r="F820" s="11"/>
      <c r="G820" s="11" t="s">
        <v>112</v>
      </c>
      <c r="H820" s="11" t="s">
        <v>81</v>
      </c>
      <c r="I820" s="11" t="s">
        <v>78</v>
      </c>
      <c r="J820" s="11"/>
      <c r="K820" s="11" t="s">
        <v>79</v>
      </c>
      <c r="L820" s="11">
        <v>0.4</v>
      </c>
      <c r="M820" s="11">
        <f t="shared" si="29"/>
        <v>0.12566370614359174</v>
      </c>
      <c r="N820" s="11"/>
      <c r="O820" s="11"/>
      <c r="P820" s="11"/>
    </row>
    <row r="821" spans="1:16" x14ac:dyDescent="0.45">
      <c r="A821" s="11">
        <v>14</v>
      </c>
      <c r="B821" s="11" t="s">
        <v>90</v>
      </c>
      <c r="C821" t="str">
        <f t="shared" ref="C821:C884" si="30">"A" &amp; UPPER(LEFT(B821,1)) &amp; A821</f>
        <v>AB14</v>
      </c>
      <c r="D821" s="11"/>
      <c r="E821" s="20">
        <v>45820</v>
      </c>
      <c r="F821" s="11"/>
      <c r="G821" s="11" t="s">
        <v>112</v>
      </c>
      <c r="H821" s="11" t="s">
        <v>81</v>
      </c>
      <c r="I821" s="11" t="s">
        <v>78</v>
      </c>
      <c r="J821" s="11"/>
      <c r="K821" s="11" t="s">
        <v>77</v>
      </c>
      <c r="L821" s="11">
        <v>1.3</v>
      </c>
      <c r="M821" s="11">
        <f t="shared" si="29"/>
        <v>0.88488193076112509</v>
      </c>
      <c r="N821" s="11"/>
      <c r="O821" s="11"/>
      <c r="P821" s="11"/>
    </row>
    <row r="822" spans="1:16" x14ac:dyDescent="0.45">
      <c r="A822" s="11">
        <v>14</v>
      </c>
      <c r="B822" s="11" t="s">
        <v>90</v>
      </c>
      <c r="C822" t="str">
        <f t="shared" si="30"/>
        <v>AB14</v>
      </c>
      <c r="D822" s="11"/>
      <c r="E822" s="20">
        <v>45820</v>
      </c>
      <c r="F822" s="11"/>
      <c r="G822" s="11" t="s">
        <v>112</v>
      </c>
      <c r="H822" s="11" t="s">
        <v>81</v>
      </c>
      <c r="I822" s="11" t="s">
        <v>80</v>
      </c>
      <c r="J822" s="11"/>
      <c r="K822" s="11" t="s">
        <v>77</v>
      </c>
      <c r="L822" s="11">
        <v>0.5</v>
      </c>
      <c r="M822" s="11">
        <f t="shared" si="29"/>
        <v>0.1308996938995747</v>
      </c>
      <c r="N822" s="11">
        <v>1</v>
      </c>
      <c r="O822" s="11">
        <v>1</v>
      </c>
      <c r="P822" s="11"/>
    </row>
    <row r="823" spans="1:16" x14ac:dyDescent="0.45">
      <c r="A823">
        <v>15</v>
      </c>
      <c r="B823" t="s">
        <v>74</v>
      </c>
      <c r="C823" t="str">
        <f t="shared" si="30"/>
        <v>AW15</v>
      </c>
      <c r="E823" s="19">
        <v>45820</v>
      </c>
      <c r="H823" t="s">
        <v>75</v>
      </c>
      <c r="I823" t="s">
        <v>76</v>
      </c>
      <c r="M823" t="str">
        <f t="shared" si="29"/>
        <v/>
      </c>
    </row>
    <row r="824" spans="1:16" x14ac:dyDescent="0.45">
      <c r="A824">
        <v>15</v>
      </c>
      <c r="B824" t="s">
        <v>74</v>
      </c>
      <c r="C824" t="str">
        <f t="shared" si="30"/>
        <v>AW15</v>
      </c>
      <c r="E824" s="19">
        <v>45820</v>
      </c>
      <c r="H824" t="s">
        <v>75</v>
      </c>
      <c r="I824" t="s">
        <v>78</v>
      </c>
      <c r="K824" t="s">
        <v>79</v>
      </c>
      <c r="L824">
        <v>3</v>
      </c>
      <c r="M824">
        <f t="shared" si="29"/>
        <v>7.0685834705770345</v>
      </c>
    </row>
    <row r="825" spans="1:16" x14ac:dyDescent="0.45">
      <c r="A825">
        <v>15</v>
      </c>
      <c r="B825" t="s">
        <v>74</v>
      </c>
      <c r="C825" t="str">
        <f t="shared" si="30"/>
        <v>AW15</v>
      </c>
      <c r="E825" s="19">
        <v>45820</v>
      </c>
      <c r="H825" t="s">
        <v>75</v>
      </c>
      <c r="I825" t="s">
        <v>78</v>
      </c>
      <c r="K825" t="s">
        <v>79</v>
      </c>
      <c r="L825">
        <v>0.2</v>
      </c>
      <c r="M825">
        <f t="shared" si="29"/>
        <v>3.1415926535897934E-2</v>
      </c>
    </row>
    <row r="826" spans="1:16" x14ac:dyDescent="0.45">
      <c r="A826">
        <v>15</v>
      </c>
      <c r="B826" t="s">
        <v>74</v>
      </c>
      <c r="C826" t="str">
        <f t="shared" si="30"/>
        <v>AW15</v>
      </c>
      <c r="E826" s="19">
        <v>45820</v>
      </c>
      <c r="H826" t="s">
        <v>75</v>
      </c>
      <c r="I826" t="s">
        <v>78</v>
      </c>
      <c r="K826" t="s">
        <v>79</v>
      </c>
      <c r="L826">
        <v>0.1</v>
      </c>
      <c r="M826">
        <f t="shared" si="29"/>
        <v>7.8539816339744835E-3</v>
      </c>
    </row>
    <row r="827" spans="1:16" x14ac:dyDescent="0.45">
      <c r="A827">
        <v>15</v>
      </c>
      <c r="B827" t="s">
        <v>74</v>
      </c>
      <c r="C827" t="str">
        <f t="shared" si="30"/>
        <v>AW15</v>
      </c>
      <c r="E827" s="19">
        <v>45820</v>
      </c>
      <c r="H827" t="s">
        <v>75</v>
      </c>
      <c r="I827" t="s">
        <v>78</v>
      </c>
      <c r="K827" t="s">
        <v>79</v>
      </c>
      <c r="L827">
        <v>0.1</v>
      </c>
      <c r="M827">
        <f t="shared" si="29"/>
        <v>7.8539816339744835E-3</v>
      </c>
    </row>
    <row r="828" spans="1:16" x14ac:dyDescent="0.45">
      <c r="A828">
        <v>15</v>
      </c>
      <c r="B828" t="s">
        <v>74</v>
      </c>
      <c r="C828" t="str">
        <f t="shared" si="30"/>
        <v>AW15</v>
      </c>
      <c r="E828" s="19">
        <v>45820</v>
      </c>
      <c r="H828" t="s">
        <v>75</v>
      </c>
      <c r="I828" t="s">
        <v>78</v>
      </c>
      <c r="K828" t="s">
        <v>79</v>
      </c>
      <c r="L828">
        <v>0.2</v>
      </c>
      <c r="M828">
        <f t="shared" si="29"/>
        <v>3.1415926535897934E-2</v>
      </c>
    </row>
    <row r="829" spans="1:16" x14ac:dyDescent="0.45">
      <c r="A829">
        <v>15</v>
      </c>
      <c r="B829" t="s">
        <v>74</v>
      </c>
      <c r="C829" t="str">
        <f t="shared" si="30"/>
        <v>AW15</v>
      </c>
      <c r="E829" s="19">
        <v>45820</v>
      </c>
      <c r="H829" t="s">
        <v>75</v>
      </c>
      <c r="I829" t="s">
        <v>78</v>
      </c>
      <c r="K829" t="s">
        <v>77</v>
      </c>
      <c r="L829">
        <v>0.8</v>
      </c>
      <c r="M829">
        <f t="shared" si="29"/>
        <v>0.33510321638291124</v>
      </c>
    </row>
    <row r="830" spans="1:16" x14ac:dyDescent="0.45">
      <c r="A830">
        <v>15</v>
      </c>
      <c r="B830" t="s">
        <v>74</v>
      </c>
      <c r="C830" t="str">
        <f t="shared" si="30"/>
        <v>AW15</v>
      </c>
      <c r="E830" s="19">
        <v>45820</v>
      </c>
      <c r="H830" t="s">
        <v>75</v>
      </c>
      <c r="I830" t="s">
        <v>80</v>
      </c>
      <c r="K830" t="s">
        <v>79</v>
      </c>
      <c r="L830">
        <v>0.4</v>
      </c>
      <c r="M830">
        <f t="shared" si="29"/>
        <v>0.12566370614359174</v>
      </c>
    </row>
    <row r="831" spans="1:16" x14ac:dyDescent="0.45">
      <c r="A831">
        <v>15</v>
      </c>
      <c r="B831" t="s">
        <v>74</v>
      </c>
      <c r="C831" t="str">
        <f t="shared" si="30"/>
        <v>AW15</v>
      </c>
      <c r="E831" s="19">
        <v>45820</v>
      </c>
      <c r="H831" t="s">
        <v>75</v>
      </c>
      <c r="I831" t="s">
        <v>80</v>
      </c>
      <c r="K831" t="s">
        <v>79</v>
      </c>
      <c r="L831">
        <v>0.3</v>
      </c>
      <c r="M831">
        <f t="shared" si="29"/>
        <v>7.0685834705770348E-2</v>
      </c>
    </row>
    <row r="832" spans="1:16" x14ac:dyDescent="0.45">
      <c r="A832">
        <v>15</v>
      </c>
      <c r="B832" t="s">
        <v>74</v>
      </c>
      <c r="C832" t="str">
        <f t="shared" si="30"/>
        <v>AW15</v>
      </c>
      <c r="E832" s="19">
        <v>45820</v>
      </c>
      <c r="H832" t="s">
        <v>81</v>
      </c>
      <c r="I832" t="s">
        <v>76</v>
      </c>
      <c r="M832" t="str">
        <f t="shared" si="29"/>
        <v/>
      </c>
    </row>
    <row r="833" spans="1:15" x14ac:dyDescent="0.45">
      <c r="A833">
        <v>15</v>
      </c>
      <c r="B833" t="s">
        <v>74</v>
      </c>
      <c r="C833" t="str">
        <f t="shared" si="30"/>
        <v>AW15</v>
      </c>
      <c r="E833" s="19">
        <v>45820</v>
      </c>
      <c r="H833" t="s">
        <v>81</v>
      </c>
      <c r="I833" t="s">
        <v>78</v>
      </c>
      <c r="K833" t="s">
        <v>79</v>
      </c>
      <c r="L833">
        <v>2.5</v>
      </c>
      <c r="M833">
        <f t="shared" si="29"/>
        <v>4.908738521234052</v>
      </c>
      <c r="O833">
        <v>1</v>
      </c>
    </row>
    <row r="834" spans="1:15" x14ac:dyDescent="0.45">
      <c r="A834">
        <v>15</v>
      </c>
      <c r="B834" t="s">
        <v>74</v>
      </c>
      <c r="C834" t="str">
        <f t="shared" si="30"/>
        <v>AW15</v>
      </c>
      <c r="E834" s="19">
        <v>45820</v>
      </c>
      <c r="H834" t="s">
        <v>81</v>
      </c>
      <c r="I834" t="s">
        <v>78</v>
      </c>
      <c r="K834" t="s">
        <v>77</v>
      </c>
      <c r="L834">
        <v>1.1000000000000001</v>
      </c>
      <c r="M834">
        <f t="shared" si="29"/>
        <v>0.63355451847394173</v>
      </c>
    </row>
    <row r="835" spans="1:15" x14ac:dyDescent="0.45">
      <c r="A835">
        <v>15</v>
      </c>
      <c r="B835" t="s">
        <v>74</v>
      </c>
      <c r="C835" t="str">
        <f t="shared" si="30"/>
        <v>AW15</v>
      </c>
      <c r="E835" s="19">
        <v>45820</v>
      </c>
      <c r="H835" t="s">
        <v>81</v>
      </c>
      <c r="I835" t="s">
        <v>78</v>
      </c>
      <c r="K835" t="s">
        <v>79</v>
      </c>
      <c r="L835">
        <v>0.6</v>
      </c>
      <c r="M835">
        <f t="shared" si="29"/>
        <v>0.28274333882308139</v>
      </c>
    </row>
    <row r="836" spans="1:15" x14ac:dyDescent="0.45">
      <c r="A836">
        <v>15</v>
      </c>
      <c r="B836" t="s">
        <v>74</v>
      </c>
      <c r="C836" t="str">
        <f t="shared" si="30"/>
        <v>AW15</v>
      </c>
      <c r="E836" s="19">
        <v>45820</v>
      </c>
      <c r="H836" t="s">
        <v>81</v>
      </c>
      <c r="I836" t="s">
        <v>78</v>
      </c>
      <c r="K836" t="s">
        <v>79</v>
      </c>
      <c r="L836">
        <v>0.2</v>
      </c>
      <c r="M836">
        <f t="shared" si="29"/>
        <v>3.1415926535897934E-2</v>
      </c>
    </row>
    <row r="837" spans="1:15" x14ac:dyDescent="0.45">
      <c r="A837">
        <v>15</v>
      </c>
      <c r="B837" t="s">
        <v>74</v>
      </c>
      <c r="C837" t="str">
        <f t="shared" si="30"/>
        <v>AW15</v>
      </c>
      <c r="E837" s="19">
        <v>45820</v>
      </c>
      <c r="H837" t="s">
        <v>81</v>
      </c>
      <c r="I837" t="s">
        <v>80</v>
      </c>
      <c r="M837" t="str">
        <f t="shared" si="29"/>
        <v/>
      </c>
    </row>
    <row r="838" spans="1:15" x14ac:dyDescent="0.45">
      <c r="A838">
        <v>16</v>
      </c>
      <c r="B838" t="s">
        <v>74</v>
      </c>
      <c r="C838" t="str">
        <f t="shared" si="30"/>
        <v>AW16</v>
      </c>
      <c r="E838" s="19">
        <v>45820</v>
      </c>
      <c r="H838" t="s">
        <v>75</v>
      </c>
      <c r="I838" t="s">
        <v>76</v>
      </c>
      <c r="M838" t="str">
        <f t="shared" si="29"/>
        <v/>
      </c>
      <c r="O838">
        <v>1</v>
      </c>
    </row>
    <row r="839" spans="1:15" x14ac:dyDescent="0.45">
      <c r="A839">
        <v>16</v>
      </c>
      <c r="B839" t="s">
        <v>74</v>
      </c>
      <c r="C839" t="str">
        <f t="shared" si="30"/>
        <v>AW16</v>
      </c>
      <c r="E839" s="19">
        <v>45820</v>
      </c>
      <c r="H839" t="s">
        <v>75</v>
      </c>
      <c r="I839" t="s">
        <v>78</v>
      </c>
      <c r="K839" t="s">
        <v>79</v>
      </c>
      <c r="L839">
        <v>0.3</v>
      </c>
      <c r="M839">
        <f t="shared" si="29"/>
        <v>7.0685834705770348E-2</v>
      </c>
      <c r="O839">
        <v>1</v>
      </c>
    </row>
    <row r="840" spans="1:15" x14ac:dyDescent="0.45">
      <c r="A840">
        <v>16</v>
      </c>
      <c r="B840" t="s">
        <v>74</v>
      </c>
      <c r="C840" t="str">
        <f t="shared" si="30"/>
        <v>AW16</v>
      </c>
      <c r="E840" s="19">
        <v>45820</v>
      </c>
      <c r="H840" t="s">
        <v>75</v>
      </c>
      <c r="I840" t="s">
        <v>78</v>
      </c>
      <c r="K840" t="s">
        <v>79</v>
      </c>
      <c r="L840">
        <v>0.2</v>
      </c>
      <c r="M840">
        <f t="shared" si="29"/>
        <v>3.1415926535897934E-2</v>
      </c>
    </row>
    <row r="841" spans="1:15" x14ac:dyDescent="0.45">
      <c r="A841">
        <v>16</v>
      </c>
      <c r="B841" t="s">
        <v>74</v>
      </c>
      <c r="C841" t="str">
        <f t="shared" si="30"/>
        <v>AW16</v>
      </c>
      <c r="E841" s="19">
        <v>45820</v>
      </c>
      <c r="H841" t="s">
        <v>75</v>
      </c>
      <c r="I841" t="s">
        <v>78</v>
      </c>
      <c r="K841" t="s">
        <v>79</v>
      </c>
      <c r="L841">
        <v>0.2</v>
      </c>
      <c r="M841">
        <f t="shared" si="29"/>
        <v>3.1415926535897934E-2</v>
      </c>
    </row>
    <row r="842" spans="1:15" x14ac:dyDescent="0.45">
      <c r="A842">
        <v>16</v>
      </c>
      <c r="B842" t="s">
        <v>74</v>
      </c>
      <c r="C842" t="str">
        <f t="shared" si="30"/>
        <v>AW16</v>
      </c>
      <c r="E842" s="19">
        <v>45820</v>
      </c>
      <c r="H842" t="s">
        <v>75</v>
      </c>
      <c r="I842" t="s">
        <v>80</v>
      </c>
      <c r="K842" t="s">
        <v>79</v>
      </c>
      <c r="L842">
        <v>3</v>
      </c>
      <c r="M842">
        <f t="shared" si="29"/>
        <v>7.0685834705770345</v>
      </c>
      <c r="O842">
        <v>4</v>
      </c>
    </row>
    <row r="843" spans="1:15" x14ac:dyDescent="0.45">
      <c r="A843">
        <v>16</v>
      </c>
      <c r="B843" t="s">
        <v>74</v>
      </c>
      <c r="C843" t="str">
        <f t="shared" si="30"/>
        <v>AW16</v>
      </c>
      <c r="E843" s="19">
        <v>45820</v>
      </c>
      <c r="H843" t="s">
        <v>81</v>
      </c>
      <c r="I843" t="s">
        <v>76</v>
      </c>
      <c r="M843" t="str">
        <f t="shared" si="29"/>
        <v/>
      </c>
      <c r="O843">
        <v>1</v>
      </c>
    </row>
    <row r="844" spans="1:15" x14ac:dyDescent="0.45">
      <c r="A844">
        <v>16</v>
      </c>
      <c r="B844" t="s">
        <v>74</v>
      </c>
      <c r="C844" t="str">
        <f t="shared" si="30"/>
        <v>AW16</v>
      </c>
      <c r="E844" s="19">
        <v>45820</v>
      </c>
      <c r="H844" t="s">
        <v>81</v>
      </c>
      <c r="I844" t="s">
        <v>78</v>
      </c>
      <c r="K844" t="s">
        <v>77</v>
      </c>
      <c r="L844">
        <v>1.4</v>
      </c>
      <c r="M844">
        <f t="shared" si="29"/>
        <v>1.0262536001726656</v>
      </c>
      <c r="O844">
        <v>3</v>
      </c>
    </row>
    <row r="845" spans="1:15" x14ac:dyDescent="0.45">
      <c r="A845">
        <v>16</v>
      </c>
      <c r="B845" t="s">
        <v>74</v>
      </c>
      <c r="C845" t="str">
        <f t="shared" si="30"/>
        <v>AW16</v>
      </c>
      <c r="E845" s="19">
        <v>45820</v>
      </c>
      <c r="H845" t="s">
        <v>81</v>
      </c>
      <c r="I845" t="s">
        <v>78</v>
      </c>
      <c r="K845" t="s">
        <v>77</v>
      </c>
      <c r="L845">
        <v>1</v>
      </c>
      <c r="M845">
        <f t="shared" ref="M845:M908" si="31">IF(OR(L845="na", L845=""), "", IF(K845="mm", PI()*(L845/2)^2, IF(K845="ep", PI()*(L845/2)*(L845*(2/3)/2), "")))</f>
        <v>0.52359877559829882</v>
      </c>
    </row>
    <row r="846" spans="1:15" x14ac:dyDescent="0.45">
      <c r="A846">
        <v>16</v>
      </c>
      <c r="B846" t="s">
        <v>74</v>
      </c>
      <c r="C846" t="str">
        <f t="shared" si="30"/>
        <v>AW16</v>
      </c>
      <c r="E846" s="19">
        <v>45820</v>
      </c>
      <c r="H846" t="s">
        <v>81</v>
      </c>
      <c r="I846" t="s">
        <v>78</v>
      </c>
      <c r="K846" t="s">
        <v>79</v>
      </c>
      <c r="L846">
        <v>2.5</v>
      </c>
      <c r="M846">
        <f t="shared" si="31"/>
        <v>4.908738521234052</v>
      </c>
    </row>
    <row r="847" spans="1:15" x14ac:dyDescent="0.45">
      <c r="A847">
        <v>16</v>
      </c>
      <c r="B847" t="s">
        <v>74</v>
      </c>
      <c r="C847" t="str">
        <f t="shared" si="30"/>
        <v>AW16</v>
      </c>
      <c r="E847" s="19">
        <v>45820</v>
      </c>
      <c r="H847" t="s">
        <v>81</v>
      </c>
      <c r="I847" t="s">
        <v>78</v>
      </c>
      <c r="K847" t="s">
        <v>79</v>
      </c>
      <c r="L847">
        <v>1</v>
      </c>
      <c r="M847">
        <f t="shared" si="31"/>
        <v>0.78539816339744828</v>
      </c>
    </row>
    <row r="848" spans="1:15" x14ac:dyDescent="0.45">
      <c r="A848">
        <v>16</v>
      </c>
      <c r="B848" t="s">
        <v>74</v>
      </c>
      <c r="C848" t="str">
        <f t="shared" si="30"/>
        <v>AW16</v>
      </c>
      <c r="E848" s="19">
        <v>45820</v>
      </c>
      <c r="H848" t="s">
        <v>81</v>
      </c>
      <c r="I848" t="s">
        <v>78</v>
      </c>
      <c r="K848" t="s">
        <v>79</v>
      </c>
      <c r="L848">
        <v>0.3</v>
      </c>
      <c r="M848">
        <f t="shared" si="31"/>
        <v>7.0685834705770348E-2</v>
      </c>
    </row>
    <row r="849" spans="1:14" x14ac:dyDescent="0.45">
      <c r="A849">
        <v>16</v>
      </c>
      <c r="B849" t="s">
        <v>74</v>
      </c>
      <c r="C849" t="str">
        <f t="shared" si="30"/>
        <v>AW16</v>
      </c>
      <c r="E849" s="19">
        <v>45820</v>
      </c>
      <c r="H849" t="s">
        <v>81</v>
      </c>
      <c r="I849" t="s">
        <v>78</v>
      </c>
      <c r="K849" t="s">
        <v>79</v>
      </c>
      <c r="L849">
        <v>0.3</v>
      </c>
      <c r="M849">
        <f t="shared" si="31"/>
        <v>7.0685834705770348E-2</v>
      </c>
    </row>
    <row r="850" spans="1:14" x14ac:dyDescent="0.45">
      <c r="A850">
        <v>16</v>
      </c>
      <c r="B850" t="s">
        <v>74</v>
      </c>
      <c r="C850" t="str">
        <f t="shared" si="30"/>
        <v>AW16</v>
      </c>
      <c r="E850" s="19">
        <v>45820</v>
      </c>
      <c r="H850" t="s">
        <v>81</v>
      </c>
      <c r="I850" t="s">
        <v>78</v>
      </c>
      <c r="K850" t="s">
        <v>79</v>
      </c>
      <c r="L850">
        <v>0.2</v>
      </c>
      <c r="M850">
        <f t="shared" si="31"/>
        <v>3.1415926535897934E-2</v>
      </c>
    </row>
    <row r="851" spans="1:14" x14ac:dyDescent="0.45">
      <c r="A851">
        <v>16</v>
      </c>
      <c r="B851" t="s">
        <v>74</v>
      </c>
      <c r="C851" t="str">
        <f t="shared" si="30"/>
        <v>AW16</v>
      </c>
      <c r="E851" s="19">
        <v>45820</v>
      </c>
      <c r="H851" t="s">
        <v>81</v>
      </c>
      <c r="I851" t="s">
        <v>78</v>
      </c>
      <c r="K851" t="s">
        <v>79</v>
      </c>
      <c r="L851">
        <v>0.2</v>
      </c>
      <c r="M851">
        <f t="shared" si="31"/>
        <v>3.1415926535897934E-2</v>
      </c>
    </row>
    <row r="852" spans="1:14" x14ac:dyDescent="0.45">
      <c r="A852">
        <v>16</v>
      </c>
      <c r="B852" t="s">
        <v>74</v>
      </c>
      <c r="C852" t="str">
        <f t="shared" si="30"/>
        <v>AW16</v>
      </c>
      <c r="E852" s="19">
        <v>45820</v>
      </c>
      <c r="H852" t="s">
        <v>81</v>
      </c>
      <c r="I852" t="s">
        <v>78</v>
      </c>
      <c r="K852" t="s">
        <v>79</v>
      </c>
      <c r="L852">
        <v>0.2</v>
      </c>
      <c r="M852">
        <f t="shared" si="31"/>
        <v>3.1415926535897934E-2</v>
      </c>
    </row>
    <row r="853" spans="1:14" x14ac:dyDescent="0.45">
      <c r="A853">
        <v>16</v>
      </c>
      <c r="B853" t="s">
        <v>74</v>
      </c>
      <c r="C853" t="str">
        <f t="shared" si="30"/>
        <v>AW16</v>
      </c>
      <c r="E853" s="19">
        <v>45820</v>
      </c>
      <c r="H853" t="s">
        <v>81</v>
      </c>
      <c r="I853" t="s">
        <v>78</v>
      </c>
      <c r="K853" t="s">
        <v>79</v>
      </c>
      <c r="L853">
        <v>1</v>
      </c>
      <c r="M853">
        <f t="shared" si="31"/>
        <v>0.78539816339744828</v>
      </c>
    </row>
    <row r="854" spans="1:14" x14ac:dyDescent="0.45">
      <c r="A854">
        <v>16</v>
      </c>
      <c r="B854" t="s">
        <v>74</v>
      </c>
      <c r="C854" t="str">
        <f t="shared" si="30"/>
        <v>AW16</v>
      </c>
      <c r="E854" s="19">
        <v>45820</v>
      </c>
      <c r="H854" t="s">
        <v>81</v>
      </c>
      <c r="I854" t="s">
        <v>80</v>
      </c>
      <c r="K854" t="s">
        <v>77</v>
      </c>
      <c r="L854">
        <v>0.6</v>
      </c>
      <c r="M854">
        <f t="shared" si="31"/>
        <v>0.18849555921538758</v>
      </c>
    </row>
    <row r="855" spans="1:14" x14ac:dyDescent="0.45">
      <c r="A855">
        <v>16</v>
      </c>
      <c r="B855" t="s">
        <v>74</v>
      </c>
      <c r="C855" t="str">
        <f t="shared" si="30"/>
        <v>AW16</v>
      </c>
      <c r="E855" s="19">
        <v>45820</v>
      </c>
      <c r="H855" t="s">
        <v>81</v>
      </c>
      <c r="I855" t="s">
        <v>80</v>
      </c>
      <c r="K855" t="s">
        <v>77</v>
      </c>
      <c r="L855">
        <v>0.3</v>
      </c>
      <c r="M855">
        <f t="shared" si="31"/>
        <v>4.7123889803846894E-2</v>
      </c>
    </row>
    <row r="856" spans="1:14" x14ac:dyDescent="0.45">
      <c r="A856">
        <v>17</v>
      </c>
      <c r="B856" t="s">
        <v>90</v>
      </c>
      <c r="C856" t="str">
        <f t="shared" si="30"/>
        <v>AB17</v>
      </c>
      <c r="E856" s="19">
        <v>45820</v>
      </c>
      <c r="H856" t="s">
        <v>75</v>
      </c>
      <c r="I856" t="s">
        <v>76</v>
      </c>
      <c r="M856" t="str">
        <f t="shared" si="31"/>
        <v/>
      </c>
    </row>
    <row r="857" spans="1:14" x14ac:dyDescent="0.45">
      <c r="A857">
        <v>17</v>
      </c>
      <c r="B857" t="s">
        <v>90</v>
      </c>
      <c r="C857" t="str">
        <f t="shared" si="30"/>
        <v>AB17</v>
      </c>
      <c r="E857" s="19">
        <v>45820</v>
      </c>
      <c r="H857" t="s">
        <v>75</v>
      </c>
      <c r="I857" t="s">
        <v>78</v>
      </c>
      <c r="K857" t="s">
        <v>77</v>
      </c>
      <c r="L857">
        <v>0.8</v>
      </c>
      <c r="M857">
        <f t="shared" si="31"/>
        <v>0.33510321638291124</v>
      </c>
      <c r="N857">
        <v>1</v>
      </c>
    </row>
    <row r="858" spans="1:14" x14ac:dyDescent="0.45">
      <c r="A858">
        <v>17</v>
      </c>
      <c r="B858" t="s">
        <v>90</v>
      </c>
      <c r="C858" t="str">
        <f t="shared" si="30"/>
        <v>AB17</v>
      </c>
      <c r="E858" s="19">
        <v>45820</v>
      </c>
      <c r="H858" t="s">
        <v>75</v>
      </c>
      <c r="I858" t="s">
        <v>78</v>
      </c>
      <c r="K858" t="s">
        <v>79</v>
      </c>
      <c r="L858">
        <v>1</v>
      </c>
      <c r="M858">
        <f t="shared" si="31"/>
        <v>0.78539816339744828</v>
      </c>
    </row>
    <row r="859" spans="1:14" x14ac:dyDescent="0.45">
      <c r="A859">
        <v>17</v>
      </c>
      <c r="B859" t="s">
        <v>90</v>
      </c>
      <c r="C859" t="str">
        <f t="shared" si="30"/>
        <v>AB17</v>
      </c>
      <c r="E859" s="19">
        <v>45820</v>
      </c>
      <c r="H859" t="s">
        <v>75</v>
      </c>
      <c r="I859" t="s">
        <v>78</v>
      </c>
      <c r="K859" t="s">
        <v>79</v>
      </c>
      <c r="L859">
        <v>0.1</v>
      </c>
      <c r="M859">
        <f t="shared" si="31"/>
        <v>7.8539816339744835E-3</v>
      </c>
    </row>
    <row r="860" spans="1:14" x14ac:dyDescent="0.45">
      <c r="A860">
        <v>17</v>
      </c>
      <c r="B860" t="s">
        <v>90</v>
      </c>
      <c r="C860" t="str">
        <f t="shared" si="30"/>
        <v>AB17</v>
      </c>
      <c r="E860" s="19">
        <v>45820</v>
      </c>
      <c r="H860" t="s">
        <v>75</v>
      </c>
      <c r="I860" t="s">
        <v>78</v>
      </c>
      <c r="K860" t="s">
        <v>79</v>
      </c>
      <c r="L860">
        <v>0.1</v>
      </c>
      <c r="M860">
        <f t="shared" si="31"/>
        <v>7.8539816339744835E-3</v>
      </c>
    </row>
    <row r="861" spans="1:14" x14ac:dyDescent="0.45">
      <c r="A861">
        <v>17</v>
      </c>
      <c r="B861" t="s">
        <v>90</v>
      </c>
      <c r="C861" t="str">
        <f t="shared" si="30"/>
        <v>AB17</v>
      </c>
      <c r="E861" s="19">
        <v>45820</v>
      </c>
      <c r="H861" t="s">
        <v>75</v>
      </c>
      <c r="I861" t="s">
        <v>78</v>
      </c>
      <c r="K861" t="s">
        <v>79</v>
      </c>
      <c r="L861">
        <v>0.1</v>
      </c>
      <c r="M861">
        <f t="shared" si="31"/>
        <v>7.8539816339744835E-3</v>
      </c>
    </row>
    <row r="862" spans="1:14" x14ac:dyDescent="0.45">
      <c r="A862">
        <v>17</v>
      </c>
      <c r="B862" t="s">
        <v>90</v>
      </c>
      <c r="C862" t="str">
        <f t="shared" si="30"/>
        <v>AB17</v>
      </c>
      <c r="E862" s="19">
        <v>45820</v>
      </c>
      <c r="H862" t="s">
        <v>75</v>
      </c>
      <c r="I862" t="s">
        <v>78</v>
      </c>
      <c r="K862" t="s">
        <v>79</v>
      </c>
      <c r="L862">
        <v>0.2</v>
      </c>
      <c r="M862">
        <f t="shared" si="31"/>
        <v>3.1415926535897934E-2</v>
      </c>
    </row>
    <row r="863" spans="1:14" x14ac:dyDescent="0.45">
      <c r="A863">
        <v>17</v>
      </c>
      <c r="B863" t="s">
        <v>90</v>
      </c>
      <c r="C863" t="str">
        <f t="shared" si="30"/>
        <v>AB17</v>
      </c>
      <c r="E863" s="19">
        <v>45820</v>
      </c>
      <c r="H863" t="s">
        <v>75</v>
      </c>
      <c r="I863" t="s">
        <v>78</v>
      </c>
      <c r="K863" t="s">
        <v>79</v>
      </c>
      <c r="L863">
        <v>0.1</v>
      </c>
      <c r="M863">
        <f t="shared" si="31"/>
        <v>7.8539816339744835E-3</v>
      </c>
    </row>
    <row r="864" spans="1:14" x14ac:dyDescent="0.45">
      <c r="A864">
        <v>17</v>
      </c>
      <c r="B864" t="s">
        <v>90</v>
      </c>
      <c r="C864" t="str">
        <f t="shared" si="30"/>
        <v>AB17</v>
      </c>
      <c r="E864" s="19">
        <v>45820</v>
      </c>
      <c r="H864" t="s">
        <v>75</v>
      </c>
      <c r="I864" t="s">
        <v>78</v>
      </c>
      <c r="K864" t="s">
        <v>79</v>
      </c>
      <c r="L864">
        <v>0.1</v>
      </c>
      <c r="M864">
        <f t="shared" si="31"/>
        <v>7.8539816339744835E-3</v>
      </c>
    </row>
    <row r="865" spans="1:15" x14ac:dyDescent="0.45">
      <c r="A865">
        <v>17</v>
      </c>
      <c r="B865" t="s">
        <v>90</v>
      </c>
      <c r="C865" t="str">
        <f t="shared" si="30"/>
        <v>AB17</v>
      </c>
      <c r="E865" s="19">
        <v>45820</v>
      </c>
      <c r="H865" t="s">
        <v>75</v>
      </c>
      <c r="I865" t="s">
        <v>78</v>
      </c>
      <c r="K865" t="s">
        <v>79</v>
      </c>
      <c r="L865">
        <v>0.1</v>
      </c>
      <c r="M865">
        <f t="shared" si="31"/>
        <v>7.8539816339744835E-3</v>
      </c>
    </row>
    <row r="866" spans="1:15" x14ac:dyDescent="0.45">
      <c r="A866">
        <v>17</v>
      </c>
      <c r="B866" t="s">
        <v>90</v>
      </c>
      <c r="C866" t="str">
        <f t="shared" si="30"/>
        <v>AB17</v>
      </c>
      <c r="E866" s="19">
        <v>45820</v>
      </c>
      <c r="H866" t="s">
        <v>75</v>
      </c>
      <c r="I866" t="s">
        <v>80</v>
      </c>
      <c r="K866" t="s">
        <v>77</v>
      </c>
      <c r="L866">
        <v>1.2</v>
      </c>
      <c r="M866">
        <f t="shared" si="31"/>
        <v>0.7539822368615503</v>
      </c>
      <c r="N866">
        <v>2</v>
      </c>
    </row>
    <row r="867" spans="1:15" x14ac:dyDescent="0.45">
      <c r="A867">
        <v>17</v>
      </c>
      <c r="B867" t="s">
        <v>90</v>
      </c>
      <c r="C867" t="str">
        <f t="shared" si="30"/>
        <v>AB17</v>
      </c>
      <c r="E867" s="19">
        <v>45820</v>
      </c>
      <c r="H867" t="s">
        <v>75</v>
      </c>
      <c r="I867" t="s">
        <v>80</v>
      </c>
      <c r="K867" t="s">
        <v>79</v>
      </c>
      <c r="L867">
        <v>0.3</v>
      </c>
      <c r="M867">
        <f t="shared" si="31"/>
        <v>7.0685834705770348E-2</v>
      </c>
    </row>
    <row r="868" spans="1:15" x14ac:dyDescent="0.45">
      <c r="A868">
        <v>17</v>
      </c>
      <c r="B868" t="s">
        <v>90</v>
      </c>
      <c r="C868" t="str">
        <f t="shared" si="30"/>
        <v>AB17</v>
      </c>
      <c r="E868" s="19">
        <v>45820</v>
      </c>
      <c r="H868" t="s">
        <v>81</v>
      </c>
      <c r="I868" t="s">
        <v>76</v>
      </c>
      <c r="M868" t="str">
        <f t="shared" si="31"/>
        <v/>
      </c>
      <c r="N868">
        <v>6</v>
      </c>
      <c r="O868">
        <v>2</v>
      </c>
    </row>
    <row r="869" spans="1:15" x14ac:dyDescent="0.45">
      <c r="A869">
        <v>17</v>
      </c>
      <c r="B869" t="s">
        <v>90</v>
      </c>
      <c r="C869" t="str">
        <f t="shared" si="30"/>
        <v>AB17</v>
      </c>
      <c r="E869" s="19">
        <v>45820</v>
      </c>
      <c r="H869" t="s">
        <v>81</v>
      </c>
      <c r="I869" t="s">
        <v>78</v>
      </c>
      <c r="K869" t="s">
        <v>79</v>
      </c>
      <c r="L869">
        <v>0.3</v>
      </c>
      <c r="M869">
        <f t="shared" si="31"/>
        <v>7.0685834705770348E-2</v>
      </c>
    </row>
    <row r="870" spans="1:15" x14ac:dyDescent="0.45">
      <c r="A870">
        <v>17</v>
      </c>
      <c r="B870" t="s">
        <v>90</v>
      </c>
      <c r="C870" t="str">
        <f t="shared" si="30"/>
        <v>AB17</v>
      </c>
      <c r="E870" s="19">
        <v>45820</v>
      </c>
      <c r="H870" t="s">
        <v>81</v>
      </c>
      <c r="I870" t="s">
        <v>78</v>
      </c>
      <c r="K870" t="s">
        <v>79</v>
      </c>
      <c r="L870">
        <v>0.6</v>
      </c>
      <c r="M870">
        <f t="shared" si="31"/>
        <v>0.28274333882308139</v>
      </c>
    </row>
    <row r="871" spans="1:15" x14ac:dyDescent="0.45">
      <c r="A871">
        <v>17</v>
      </c>
      <c r="B871" t="s">
        <v>90</v>
      </c>
      <c r="C871" t="str">
        <f t="shared" si="30"/>
        <v>AB17</v>
      </c>
      <c r="E871" s="19">
        <v>45820</v>
      </c>
      <c r="H871" t="s">
        <v>81</v>
      </c>
      <c r="I871" t="s">
        <v>78</v>
      </c>
      <c r="K871" t="s">
        <v>77</v>
      </c>
      <c r="L871">
        <v>1</v>
      </c>
      <c r="M871">
        <f t="shared" si="31"/>
        <v>0.52359877559829882</v>
      </c>
    </row>
    <row r="872" spans="1:15" x14ac:dyDescent="0.45">
      <c r="A872">
        <v>17</v>
      </c>
      <c r="B872" t="s">
        <v>90</v>
      </c>
      <c r="C872" t="str">
        <f t="shared" si="30"/>
        <v>AB17</v>
      </c>
      <c r="E872" s="19">
        <v>45820</v>
      </c>
      <c r="H872" t="s">
        <v>81</v>
      </c>
      <c r="I872" t="s">
        <v>78</v>
      </c>
      <c r="K872" t="s">
        <v>77</v>
      </c>
      <c r="L872">
        <v>1.2</v>
      </c>
      <c r="M872">
        <f t="shared" si="31"/>
        <v>0.7539822368615503</v>
      </c>
    </row>
    <row r="873" spans="1:15" x14ac:dyDescent="0.45">
      <c r="A873">
        <v>17</v>
      </c>
      <c r="B873" t="s">
        <v>90</v>
      </c>
      <c r="C873" t="str">
        <f t="shared" si="30"/>
        <v>AB17</v>
      </c>
      <c r="E873" s="19">
        <v>45820</v>
      </c>
      <c r="H873" t="s">
        <v>81</v>
      </c>
      <c r="I873" t="s">
        <v>80</v>
      </c>
      <c r="K873" t="s">
        <v>77</v>
      </c>
      <c r="L873">
        <v>1</v>
      </c>
      <c r="M873">
        <f t="shared" si="31"/>
        <v>0.52359877559829882</v>
      </c>
      <c r="N873">
        <v>10</v>
      </c>
      <c r="O873">
        <v>1</v>
      </c>
    </row>
    <row r="874" spans="1:15" x14ac:dyDescent="0.45">
      <c r="A874">
        <v>17</v>
      </c>
      <c r="B874" t="s">
        <v>90</v>
      </c>
      <c r="C874" t="str">
        <f t="shared" si="30"/>
        <v>AB17</v>
      </c>
      <c r="E874" s="19">
        <v>45820</v>
      </c>
      <c r="H874" t="s">
        <v>81</v>
      </c>
      <c r="I874" t="s">
        <v>80</v>
      </c>
      <c r="K874" t="s">
        <v>77</v>
      </c>
      <c r="L874">
        <v>1.2</v>
      </c>
      <c r="M874">
        <f t="shared" si="31"/>
        <v>0.7539822368615503</v>
      </c>
    </row>
    <row r="875" spans="1:15" x14ac:dyDescent="0.45">
      <c r="A875">
        <v>17</v>
      </c>
      <c r="B875" t="s">
        <v>90</v>
      </c>
      <c r="C875" t="str">
        <f t="shared" si="30"/>
        <v>AB17</v>
      </c>
      <c r="E875" s="19">
        <v>45820</v>
      </c>
      <c r="H875" t="s">
        <v>81</v>
      </c>
      <c r="I875" t="s">
        <v>80</v>
      </c>
      <c r="K875" t="s">
        <v>77</v>
      </c>
      <c r="L875">
        <v>1</v>
      </c>
      <c r="M875">
        <f t="shared" si="31"/>
        <v>0.52359877559829882</v>
      </c>
    </row>
    <row r="876" spans="1:15" x14ac:dyDescent="0.45">
      <c r="A876">
        <v>17</v>
      </c>
      <c r="B876" t="s">
        <v>90</v>
      </c>
      <c r="C876" t="str">
        <f t="shared" si="30"/>
        <v>AB17</v>
      </c>
      <c r="E876" s="19">
        <v>45820</v>
      </c>
      <c r="H876" t="s">
        <v>81</v>
      </c>
      <c r="I876" t="s">
        <v>80</v>
      </c>
      <c r="K876" t="s">
        <v>79</v>
      </c>
      <c r="L876">
        <v>0.3</v>
      </c>
      <c r="M876">
        <f t="shared" si="31"/>
        <v>7.0685834705770348E-2</v>
      </c>
    </row>
    <row r="877" spans="1:15" x14ac:dyDescent="0.45">
      <c r="A877">
        <v>17</v>
      </c>
      <c r="B877" t="s">
        <v>90</v>
      </c>
      <c r="C877" t="str">
        <f t="shared" si="30"/>
        <v>AB17</v>
      </c>
      <c r="E877" s="19">
        <v>45820</v>
      </c>
      <c r="H877" t="s">
        <v>81</v>
      </c>
      <c r="I877" t="s">
        <v>80</v>
      </c>
      <c r="K877" t="s">
        <v>79</v>
      </c>
      <c r="L877">
        <v>0.2</v>
      </c>
      <c r="M877">
        <f t="shared" si="31"/>
        <v>3.1415926535897934E-2</v>
      </c>
    </row>
    <row r="878" spans="1:15" x14ac:dyDescent="0.45">
      <c r="A878">
        <v>18</v>
      </c>
      <c r="B878" t="s">
        <v>90</v>
      </c>
      <c r="C878" t="str">
        <f t="shared" si="30"/>
        <v>AB18</v>
      </c>
      <c r="E878" s="19">
        <v>45820</v>
      </c>
      <c r="G878" t="s">
        <v>113</v>
      </c>
      <c r="H878" t="s">
        <v>75</v>
      </c>
      <c r="I878" t="s">
        <v>76</v>
      </c>
      <c r="K878" t="s">
        <v>79</v>
      </c>
      <c r="L878">
        <v>0.2</v>
      </c>
      <c r="M878">
        <f t="shared" si="31"/>
        <v>3.1415926535897934E-2</v>
      </c>
    </row>
    <row r="879" spans="1:15" x14ac:dyDescent="0.45">
      <c r="A879">
        <v>18</v>
      </c>
      <c r="B879" t="s">
        <v>90</v>
      </c>
      <c r="C879" t="str">
        <f t="shared" si="30"/>
        <v>AB18</v>
      </c>
      <c r="E879" s="19">
        <v>45820</v>
      </c>
      <c r="H879" t="s">
        <v>75</v>
      </c>
      <c r="I879" t="s">
        <v>76</v>
      </c>
      <c r="K879" t="s">
        <v>79</v>
      </c>
      <c r="L879">
        <v>0.1</v>
      </c>
      <c r="M879">
        <f t="shared" si="31"/>
        <v>7.8539816339744835E-3</v>
      </c>
    </row>
    <row r="880" spans="1:15" x14ac:dyDescent="0.45">
      <c r="A880">
        <v>18</v>
      </c>
      <c r="B880" t="s">
        <v>90</v>
      </c>
      <c r="C880" t="str">
        <f t="shared" si="30"/>
        <v>AB18</v>
      </c>
      <c r="E880" s="19">
        <v>45820</v>
      </c>
      <c r="H880" t="s">
        <v>75</v>
      </c>
      <c r="I880" t="s">
        <v>78</v>
      </c>
      <c r="K880" t="s">
        <v>79</v>
      </c>
      <c r="L880">
        <v>1</v>
      </c>
      <c r="M880">
        <f t="shared" si="31"/>
        <v>0.78539816339744828</v>
      </c>
      <c r="N880">
        <v>1</v>
      </c>
    </row>
    <row r="881" spans="1:15" x14ac:dyDescent="0.45">
      <c r="A881">
        <v>18</v>
      </c>
      <c r="B881" t="s">
        <v>90</v>
      </c>
      <c r="C881" t="str">
        <f t="shared" si="30"/>
        <v>AB18</v>
      </c>
      <c r="E881" s="19">
        <v>45820</v>
      </c>
      <c r="H881" t="s">
        <v>81</v>
      </c>
      <c r="I881" t="s">
        <v>76</v>
      </c>
      <c r="K881" t="s">
        <v>79</v>
      </c>
      <c r="L881">
        <v>0.4</v>
      </c>
      <c r="M881">
        <f t="shared" si="31"/>
        <v>0.12566370614359174</v>
      </c>
      <c r="O881">
        <v>4</v>
      </c>
    </row>
    <row r="882" spans="1:15" x14ac:dyDescent="0.45">
      <c r="A882">
        <v>18</v>
      </c>
      <c r="B882" t="s">
        <v>90</v>
      </c>
      <c r="C882" t="str">
        <f t="shared" si="30"/>
        <v>AB18</v>
      </c>
      <c r="E882" s="19">
        <v>45820</v>
      </c>
      <c r="H882" t="s">
        <v>81</v>
      </c>
      <c r="I882" t="s">
        <v>78</v>
      </c>
      <c r="K882" t="s">
        <v>79</v>
      </c>
      <c r="L882">
        <v>0.4</v>
      </c>
      <c r="M882">
        <f t="shared" si="31"/>
        <v>0.12566370614359174</v>
      </c>
      <c r="N882">
        <v>4</v>
      </c>
    </row>
    <row r="883" spans="1:15" x14ac:dyDescent="0.45">
      <c r="A883">
        <v>18</v>
      </c>
      <c r="B883" t="s">
        <v>90</v>
      </c>
      <c r="C883" t="str">
        <f t="shared" si="30"/>
        <v>AB18</v>
      </c>
      <c r="E883" s="19">
        <v>45820</v>
      </c>
      <c r="H883" t="s">
        <v>81</v>
      </c>
      <c r="I883" t="s">
        <v>78</v>
      </c>
      <c r="K883" t="s">
        <v>79</v>
      </c>
      <c r="L883">
        <v>0.5</v>
      </c>
      <c r="M883">
        <f t="shared" si="31"/>
        <v>0.19634954084936207</v>
      </c>
    </row>
    <row r="884" spans="1:15" x14ac:dyDescent="0.45">
      <c r="A884">
        <v>18</v>
      </c>
      <c r="B884" t="s">
        <v>90</v>
      </c>
      <c r="C884" t="str">
        <f t="shared" si="30"/>
        <v>AB18</v>
      </c>
      <c r="E884" s="19">
        <v>45820</v>
      </c>
      <c r="H884" t="s">
        <v>81</v>
      </c>
      <c r="I884" t="s">
        <v>78</v>
      </c>
      <c r="K884" t="s">
        <v>79</v>
      </c>
      <c r="L884">
        <v>0.4</v>
      </c>
      <c r="M884">
        <f t="shared" si="31"/>
        <v>0.12566370614359174</v>
      </c>
    </row>
    <row r="885" spans="1:15" x14ac:dyDescent="0.45">
      <c r="A885">
        <v>19</v>
      </c>
      <c r="B885" t="s">
        <v>90</v>
      </c>
      <c r="C885" t="str">
        <f t="shared" ref="C885:C948" si="32">"A" &amp; UPPER(LEFT(B885,1)) &amp; A885</f>
        <v>AB19</v>
      </c>
      <c r="E885" s="19">
        <v>45820</v>
      </c>
      <c r="H885" t="s">
        <v>75</v>
      </c>
      <c r="I885" t="s">
        <v>76</v>
      </c>
      <c r="M885" t="str">
        <f t="shared" si="31"/>
        <v/>
      </c>
      <c r="O885">
        <v>2</v>
      </c>
    </row>
    <row r="886" spans="1:15" x14ac:dyDescent="0.45">
      <c r="A886">
        <v>19</v>
      </c>
      <c r="B886" t="s">
        <v>90</v>
      </c>
      <c r="C886" t="str">
        <f t="shared" si="32"/>
        <v>AB19</v>
      </c>
      <c r="E886" s="19">
        <v>45820</v>
      </c>
      <c r="H886" t="s">
        <v>75</v>
      </c>
      <c r="I886" t="s">
        <v>78</v>
      </c>
      <c r="K886" t="s">
        <v>79</v>
      </c>
      <c r="L886">
        <v>1</v>
      </c>
      <c r="M886">
        <f t="shared" si="31"/>
        <v>0.78539816339744828</v>
      </c>
    </row>
    <row r="887" spans="1:15" x14ac:dyDescent="0.45">
      <c r="A887">
        <v>19</v>
      </c>
      <c r="B887" t="s">
        <v>90</v>
      </c>
      <c r="C887" t="str">
        <f t="shared" si="32"/>
        <v>AB19</v>
      </c>
      <c r="E887" s="19">
        <v>45820</v>
      </c>
      <c r="H887" t="s">
        <v>75</v>
      </c>
      <c r="I887" t="s">
        <v>78</v>
      </c>
      <c r="K887" t="s">
        <v>77</v>
      </c>
      <c r="L887">
        <v>1</v>
      </c>
      <c r="M887">
        <f t="shared" si="31"/>
        <v>0.52359877559829882</v>
      </c>
    </row>
    <row r="888" spans="1:15" x14ac:dyDescent="0.45">
      <c r="A888">
        <v>19</v>
      </c>
      <c r="B888" t="s">
        <v>90</v>
      </c>
      <c r="C888" t="str">
        <f t="shared" si="32"/>
        <v>AB19</v>
      </c>
      <c r="E888" s="19">
        <v>45820</v>
      </c>
      <c r="H888" t="s">
        <v>75</v>
      </c>
      <c r="I888" t="s">
        <v>80</v>
      </c>
      <c r="K888" t="s">
        <v>77</v>
      </c>
      <c r="L888">
        <v>1.4</v>
      </c>
      <c r="M888">
        <f t="shared" si="31"/>
        <v>1.0262536001726656</v>
      </c>
      <c r="O888">
        <v>1</v>
      </c>
    </row>
    <row r="889" spans="1:15" x14ac:dyDescent="0.45">
      <c r="A889">
        <v>19</v>
      </c>
      <c r="B889" t="s">
        <v>90</v>
      </c>
      <c r="C889" t="str">
        <f t="shared" si="32"/>
        <v>AB19</v>
      </c>
      <c r="E889" s="19">
        <v>45820</v>
      </c>
      <c r="H889" t="s">
        <v>81</v>
      </c>
      <c r="I889" t="s">
        <v>76</v>
      </c>
      <c r="K889" t="s">
        <v>79</v>
      </c>
      <c r="L889">
        <v>0.5</v>
      </c>
      <c r="M889">
        <f t="shared" si="31"/>
        <v>0.19634954084936207</v>
      </c>
      <c r="O889">
        <v>3</v>
      </c>
    </row>
    <row r="890" spans="1:15" x14ac:dyDescent="0.45">
      <c r="A890">
        <v>19</v>
      </c>
      <c r="B890" t="s">
        <v>90</v>
      </c>
      <c r="C890" t="str">
        <f t="shared" si="32"/>
        <v>AB19</v>
      </c>
      <c r="E890" s="19">
        <v>45820</v>
      </c>
      <c r="H890" t="s">
        <v>81</v>
      </c>
      <c r="I890" t="s">
        <v>78</v>
      </c>
      <c r="K890" t="s">
        <v>79</v>
      </c>
      <c r="L890">
        <v>1.2</v>
      </c>
      <c r="M890">
        <f t="shared" si="31"/>
        <v>1.1309733552923256</v>
      </c>
      <c r="N890">
        <v>3</v>
      </c>
      <c r="O890">
        <v>4</v>
      </c>
    </row>
    <row r="891" spans="1:15" x14ac:dyDescent="0.45">
      <c r="A891">
        <v>19</v>
      </c>
      <c r="B891" t="s">
        <v>90</v>
      </c>
      <c r="C891" t="str">
        <f t="shared" si="32"/>
        <v>AB19</v>
      </c>
      <c r="E891" s="19">
        <v>45820</v>
      </c>
      <c r="H891" t="s">
        <v>81</v>
      </c>
      <c r="I891" t="s">
        <v>78</v>
      </c>
      <c r="K891" t="s">
        <v>77</v>
      </c>
      <c r="L891">
        <v>1.4</v>
      </c>
      <c r="M891">
        <f t="shared" si="31"/>
        <v>1.0262536001726656</v>
      </c>
    </row>
    <row r="892" spans="1:15" x14ac:dyDescent="0.45">
      <c r="A892">
        <v>19</v>
      </c>
      <c r="B892" t="s">
        <v>90</v>
      </c>
      <c r="C892" t="str">
        <f t="shared" si="32"/>
        <v>AB19</v>
      </c>
      <c r="E892" s="19">
        <v>45820</v>
      </c>
      <c r="H892" t="s">
        <v>81</v>
      </c>
      <c r="I892" t="s">
        <v>78</v>
      </c>
      <c r="K892" t="s">
        <v>77</v>
      </c>
      <c r="L892">
        <v>0.2</v>
      </c>
      <c r="M892">
        <f t="shared" si="31"/>
        <v>2.0943951023931952E-2</v>
      </c>
    </row>
    <row r="893" spans="1:15" x14ac:dyDescent="0.45">
      <c r="A893">
        <v>19</v>
      </c>
      <c r="B893" t="s">
        <v>90</v>
      </c>
      <c r="C893" t="str">
        <f t="shared" si="32"/>
        <v>AB19</v>
      </c>
      <c r="E893" s="19">
        <v>45820</v>
      </c>
      <c r="H893" t="s">
        <v>81</v>
      </c>
      <c r="I893" t="s">
        <v>80</v>
      </c>
      <c r="K893" t="s">
        <v>77</v>
      </c>
      <c r="L893">
        <v>3</v>
      </c>
      <c r="M893">
        <f t="shared" si="31"/>
        <v>4.7123889803846897</v>
      </c>
    </row>
    <row r="894" spans="1:15" x14ac:dyDescent="0.45">
      <c r="A894">
        <v>19</v>
      </c>
      <c r="B894" t="s">
        <v>90</v>
      </c>
      <c r="C894" t="str">
        <f t="shared" si="32"/>
        <v>AB19</v>
      </c>
      <c r="E894" s="19">
        <v>45820</v>
      </c>
      <c r="H894" t="s">
        <v>81</v>
      </c>
      <c r="I894" t="s">
        <v>80</v>
      </c>
      <c r="K894" t="s">
        <v>77</v>
      </c>
      <c r="L894">
        <v>1.4</v>
      </c>
      <c r="M894">
        <f t="shared" si="31"/>
        <v>1.0262536001726656</v>
      </c>
    </row>
    <row r="895" spans="1:15" x14ac:dyDescent="0.45">
      <c r="A895">
        <v>19</v>
      </c>
      <c r="B895" t="s">
        <v>90</v>
      </c>
      <c r="C895" t="str">
        <f t="shared" si="32"/>
        <v>AB19</v>
      </c>
      <c r="E895" s="19">
        <v>45820</v>
      </c>
      <c r="H895" t="s">
        <v>81</v>
      </c>
      <c r="I895" t="s">
        <v>80</v>
      </c>
      <c r="K895" t="s">
        <v>79</v>
      </c>
      <c r="L895">
        <v>0.4</v>
      </c>
      <c r="M895">
        <f t="shared" si="31"/>
        <v>0.12566370614359174</v>
      </c>
    </row>
    <row r="896" spans="1:15" x14ac:dyDescent="0.45">
      <c r="A896">
        <v>19</v>
      </c>
      <c r="B896" t="s">
        <v>90</v>
      </c>
      <c r="C896" t="str">
        <f t="shared" si="32"/>
        <v>AB19</v>
      </c>
      <c r="E896" s="19">
        <v>45820</v>
      </c>
      <c r="H896" t="s">
        <v>81</v>
      </c>
      <c r="I896" t="s">
        <v>80</v>
      </c>
      <c r="K896" t="s">
        <v>79</v>
      </c>
      <c r="L896">
        <v>0.3</v>
      </c>
      <c r="M896">
        <f t="shared" si="31"/>
        <v>7.0685834705770348E-2</v>
      </c>
    </row>
    <row r="897" spans="1:15" x14ac:dyDescent="0.45">
      <c r="A897">
        <v>21</v>
      </c>
      <c r="B897" t="s">
        <v>90</v>
      </c>
      <c r="C897" t="str">
        <f t="shared" si="32"/>
        <v>AB21</v>
      </c>
      <c r="E897" s="19">
        <v>45820</v>
      </c>
      <c r="H897" t="s">
        <v>75</v>
      </c>
      <c r="I897" t="s">
        <v>76</v>
      </c>
      <c r="M897" t="str">
        <f t="shared" si="31"/>
        <v/>
      </c>
    </row>
    <row r="898" spans="1:15" x14ac:dyDescent="0.45">
      <c r="A898">
        <v>21</v>
      </c>
      <c r="B898" t="s">
        <v>90</v>
      </c>
      <c r="C898" t="str">
        <f t="shared" si="32"/>
        <v>AB21</v>
      </c>
      <c r="E898" s="19">
        <v>45820</v>
      </c>
      <c r="H898" t="s">
        <v>75</v>
      </c>
      <c r="I898" t="s">
        <v>78</v>
      </c>
      <c r="K898" t="s">
        <v>79</v>
      </c>
      <c r="L898">
        <v>1</v>
      </c>
      <c r="M898">
        <f t="shared" si="31"/>
        <v>0.78539816339744828</v>
      </c>
    </row>
    <row r="899" spans="1:15" x14ac:dyDescent="0.45">
      <c r="A899">
        <v>21</v>
      </c>
      <c r="B899" t="s">
        <v>90</v>
      </c>
      <c r="C899" t="str">
        <f t="shared" si="32"/>
        <v>AB21</v>
      </c>
      <c r="E899" s="19">
        <v>45820</v>
      </c>
      <c r="H899" t="s">
        <v>75</v>
      </c>
      <c r="I899" t="s">
        <v>80</v>
      </c>
      <c r="K899" t="s">
        <v>77</v>
      </c>
      <c r="L899">
        <v>1.2</v>
      </c>
      <c r="M899">
        <f t="shared" si="31"/>
        <v>0.7539822368615503</v>
      </c>
      <c r="N899">
        <v>9</v>
      </c>
      <c r="O899">
        <v>3</v>
      </c>
    </row>
    <row r="900" spans="1:15" x14ac:dyDescent="0.45">
      <c r="A900">
        <v>21</v>
      </c>
      <c r="B900" t="s">
        <v>90</v>
      </c>
      <c r="C900" t="str">
        <f t="shared" si="32"/>
        <v>AB21</v>
      </c>
      <c r="E900" s="19">
        <v>45820</v>
      </c>
      <c r="H900" t="s">
        <v>75</v>
      </c>
      <c r="I900" t="s">
        <v>80</v>
      </c>
      <c r="K900" t="s">
        <v>79</v>
      </c>
      <c r="L900">
        <v>0.2</v>
      </c>
      <c r="M900">
        <f t="shared" si="31"/>
        <v>3.1415926535897934E-2</v>
      </c>
    </row>
    <row r="901" spans="1:15" x14ac:dyDescent="0.45">
      <c r="A901">
        <v>21</v>
      </c>
      <c r="B901" t="s">
        <v>90</v>
      </c>
      <c r="C901" t="str">
        <f t="shared" si="32"/>
        <v>AB21</v>
      </c>
      <c r="E901" s="19">
        <v>45820</v>
      </c>
      <c r="H901" t="s">
        <v>75</v>
      </c>
      <c r="I901" t="s">
        <v>80</v>
      </c>
      <c r="K901" t="s">
        <v>79</v>
      </c>
      <c r="L901">
        <v>0.2</v>
      </c>
      <c r="M901">
        <f t="shared" si="31"/>
        <v>3.1415926535897934E-2</v>
      </c>
    </row>
    <row r="902" spans="1:15" x14ac:dyDescent="0.45">
      <c r="A902">
        <v>21</v>
      </c>
      <c r="B902" t="s">
        <v>90</v>
      </c>
      <c r="C902" t="str">
        <f t="shared" si="32"/>
        <v>AB21</v>
      </c>
      <c r="E902" s="19">
        <v>45820</v>
      </c>
      <c r="H902" t="s">
        <v>75</v>
      </c>
      <c r="I902" t="s">
        <v>80</v>
      </c>
      <c r="K902" t="s">
        <v>79</v>
      </c>
      <c r="L902">
        <v>0.3</v>
      </c>
      <c r="M902">
        <f t="shared" si="31"/>
        <v>7.0685834705770348E-2</v>
      </c>
    </row>
    <row r="903" spans="1:15" x14ac:dyDescent="0.45">
      <c r="A903">
        <v>21</v>
      </c>
      <c r="B903" t="s">
        <v>90</v>
      </c>
      <c r="C903" t="str">
        <f t="shared" si="32"/>
        <v>AB21</v>
      </c>
      <c r="E903" s="19">
        <v>45820</v>
      </c>
      <c r="H903" t="s">
        <v>75</v>
      </c>
      <c r="I903" t="s">
        <v>80</v>
      </c>
      <c r="K903" t="s">
        <v>79</v>
      </c>
      <c r="L903">
        <v>0.1</v>
      </c>
      <c r="M903">
        <f t="shared" si="31"/>
        <v>7.8539816339744835E-3</v>
      </c>
    </row>
    <row r="904" spans="1:15" x14ac:dyDescent="0.45">
      <c r="A904">
        <v>21</v>
      </c>
      <c r="B904" t="s">
        <v>90</v>
      </c>
      <c r="C904" t="str">
        <f t="shared" si="32"/>
        <v>AB21</v>
      </c>
      <c r="E904" s="19">
        <v>45820</v>
      </c>
      <c r="H904" t="s">
        <v>81</v>
      </c>
      <c r="I904" t="s">
        <v>76</v>
      </c>
      <c r="K904" t="s">
        <v>79</v>
      </c>
      <c r="L904">
        <v>2</v>
      </c>
      <c r="M904">
        <f t="shared" si="31"/>
        <v>3.1415926535897931</v>
      </c>
      <c r="O904">
        <v>4</v>
      </c>
    </row>
    <row r="905" spans="1:15" x14ac:dyDescent="0.45">
      <c r="A905">
        <v>21</v>
      </c>
      <c r="B905" t="s">
        <v>90</v>
      </c>
      <c r="C905" t="str">
        <f t="shared" si="32"/>
        <v>AB21</v>
      </c>
      <c r="E905" s="19">
        <v>45820</v>
      </c>
      <c r="H905" t="s">
        <v>81</v>
      </c>
      <c r="I905" t="s">
        <v>78</v>
      </c>
      <c r="M905" t="str">
        <f t="shared" si="31"/>
        <v/>
      </c>
      <c r="N905">
        <v>2</v>
      </c>
      <c r="O905">
        <v>10</v>
      </c>
    </row>
    <row r="906" spans="1:15" x14ac:dyDescent="0.45">
      <c r="A906">
        <v>21</v>
      </c>
      <c r="B906" t="s">
        <v>90</v>
      </c>
      <c r="C906" t="str">
        <f t="shared" si="32"/>
        <v>AB21</v>
      </c>
      <c r="E906" s="19">
        <v>45820</v>
      </c>
      <c r="H906" t="s">
        <v>81</v>
      </c>
      <c r="I906" t="s">
        <v>80</v>
      </c>
      <c r="K906" t="s">
        <v>77</v>
      </c>
      <c r="L906">
        <v>2</v>
      </c>
      <c r="M906">
        <f t="shared" si="31"/>
        <v>2.0943951023931953</v>
      </c>
      <c r="N906">
        <v>3</v>
      </c>
    </row>
    <row r="907" spans="1:15" x14ac:dyDescent="0.45">
      <c r="A907">
        <v>21</v>
      </c>
      <c r="B907" t="s">
        <v>90</v>
      </c>
      <c r="C907" t="str">
        <f t="shared" si="32"/>
        <v>AB21</v>
      </c>
      <c r="E907" s="19">
        <v>45820</v>
      </c>
      <c r="H907" t="s">
        <v>81</v>
      </c>
      <c r="I907" t="s">
        <v>80</v>
      </c>
      <c r="K907" t="s">
        <v>77</v>
      </c>
      <c r="L907">
        <v>0.8</v>
      </c>
      <c r="M907">
        <f t="shared" si="31"/>
        <v>0.33510321638291124</v>
      </c>
    </row>
    <row r="908" spans="1:15" x14ac:dyDescent="0.45">
      <c r="A908">
        <v>21</v>
      </c>
      <c r="B908" t="s">
        <v>90</v>
      </c>
      <c r="C908" t="str">
        <f t="shared" si="32"/>
        <v>AB21</v>
      </c>
      <c r="E908" s="19">
        <v>45820</v>
      </c>
      <c r="H908" t="s">
        <v>81</v>
      </c>
      <c r="I908" t="s">
        <v>80</v>
      </c>
      <c r="K908" t="s">
        <v>79</v>
      </c>
      <c r="L908">
        <v>0.3</v>
      </c>
      <c r="M908">
        <f t="shared" si="31"/>
        <v>7.0685834705770348E-2</v>
      </c>
    </row>
    <row r="909" spans="1:15" x14ac:dyDescent="0.45">
      <c r="A909">
        <v>21</v>
      </c>
      <c r="B909" t="s">
        <v>90</v>
      </c>
      <c r="C909" t="str">
        <f t="shared" si="32"/>
        <v>AB21</v>
      </c>
      <c r="E909" s="19">
        <v>45820</v>
      </c>
      <c r="H909" t="s">
        <v>81</v>
      </c>
      <c r="I909" t="s">
        <v>80</v>
      </c>
      <c r="K909" t="s">
        <v>79</v>
      </c>
      <c r="L909">
        <v>0.4</v>
      </c>
      <c r="M909">
        <f t="shared" ref="M909:M972" si="33">IF(OR(L909="na", L909=""), "", IF(K909="mm", PI()*(L909/2)^2, IF(K909="ep", PI()*(L909/2)*(L909*(2/3)/2), "")))</f>
        <v>0.12566370614359174</v>
      </c>
    </row>
    <row r="910" spans="1:15" x14ac:dyDescent="0.45">
      <c r="A910">
        <v>24</v>
      </c>
      <c r="B910" t="s">
        <v>90</v>
      </c>
      <c r="C910" t="str">
        <f t="shared" si="32"/>
        <v>AB24</v>
      </c>
      <c r="E910" s="19">
        <v>45820</v>
      </c>
      <c r="H910" t="s">
        <v>75</v>
      </c>
      <c r="I910" t="s">
        <v>76</v>
      </c>
      <c r="M910" t="str">
        <f t="shared" si="33"/>
        <v/>
      </c>
    </row>
    <row r="911" spans="1:15" x14ac:dyDescent="0.45">
      <c r="A911">
        <v>24</v>
      </c>
      <c r="B911" t="s">
        <v>90</v>
      </c>
      <c r="C911" t="str">
        <f t="shared" si="32"/>
        <v>AB24</v>
      </c>
      <c r="E911" s="19">
        <v>45820</v>
      </c>
      <c r="H911" t="s">
        <v>75</v>
      </c>
      <c r="I911" t="s">
        <v>78</v>
      </c>
      <c r="M911" t="str">
        <f t="shared" si="33"/>
        <v/>
      </c>
      <c r="N911">
        <v>2</v>
      </c>
    </row>
    <row r="912" spans="1:15" x14ac:dyDescent="0.45">
      <c r="A912">
        <v>24</v>
      </c>
      <c r="B912" t="s">
        <v>90</v>
      </c>
      <c r="C912" t="str">
        <f t="shared" si="32"/>
        <v>AB24</v>
      </c>
      <c r="E912" s="19">
        <v>45820</v>
      </c>
      <c r="H912" t="s">
        <v>75</v>
      </c>
      <c r="I912" t="s">
        <v>80</v>
      </c>
      <c r="K912" t="s">
        <v>79</v>
      </c>
      <c r="L912">
        <v>0.4</v>
      </c>
      <c r="M912">
        <f t="shared" si="33"/>
        <v>0.12566370614359174</v>
      </c>
    </row>
    <row r="913" spans="1:15" x14ac:dyDescent="0.45">
      <c r="A913">
        <v>24</v>
      </c>
      <c r="B913" t="s">
        <v>90</v>
      </c>
      <c r="C913" t="str">
        <f t="shared" si="32"/>
        <v>AB24</v>
      </c>
      <c r="E913" s="19">
        <v>45820</v>
      </c>
      <c r="H913" t="s">
        <v>81</v>
      </c>
      <c r="I913" t="s">
        <v>76</v>
      </c>
      <c r="M913" t="str">
        <f t="shared" si="33"/>
        <v/>
      </c>
    </row>
    <row r="914" spans="1:15" x14ac:dyDescent="0.45">
      <c r="A914">
        <v>24</v>
      </c>
      <c r="B914" t="s">
        <v>90</v>
      </c>
      <c r="C914" t="str">
        <f t="shared" si="32"/>
        <v>AB24</v>
      </c>
      <c r="E914" s="19">
        <v>45820</v>
      </c>
      <c r="H914" t="s">
        <v>81</v>
      </c>
      <c r="I914" t="s">
        <v>78</v>
      </c>
      <c r="M914" t="str">
        <f t="shared" si="33"/>
        <v/>
      </c>
      <c r="N914">
        <v>3</v>
      </c>
    </row>
    <row r="915" spans="1:15" x14ac:dyDescent="0.45">
      <c r="A915">
        <v>24</v>
      </c>
      <c r="B915" t="s">
        <v>90</v>
      </c>
      <c r="C915" t="str">
        <f t="shared" si="32"/>
        <v>AB24</v>
      </c>
      <c r="E915" s="19">
        <v>45820</v>
      </c>
      <c r="H915" t="s">
        <v>81</v>
      </c>
      <c r="I915" t="s">
        <v>80</v>
      </c>
      <c r="K915" t="s">
        <v>79</v>
      </c>
      <c r="L915">
        <v>0.4</v>
      </c>
      <c r="M915">
        <f t="shared" si="33"/>
        <v>0.12566370614359174</v>
      </c>
      <c r="N915">
        <v>2</v>
      </c>
    </row>
    <row r="916" spans="1:15" x14ac:dyDescent="0.45">
      <c r="A916">
        <v>24</v>
      </c>
      <c r="B916" t="s">
        <v>90</v>
      </c>
      <c r="C916" t="str">
        <f t="shared" si="32"/>
        <v>AB24</v>
      </c>
      <c r="E916" s="19">
        <v>45820</v>
      </c>
      <c r="H916" t="s">
        <v>81</v>
      </c>
      <c r="I916" t="s">
        <v>80</v>
      </c>
      <c r="K916" t="s">
        <v>79</v>
      </c>
      <c r="L916">
        <v>0.3</v>
      </c>
      <c r="M916">
        <f t="shared" si="33"/>
        <v>7.0685834705770348E-2</v>
      </c>
    </row>
    <row r="917" spans="1:15" x14ac:dyDescent="0.45">
      <c r="A917">
        <v>25</v>
      </c>
      <c r="B917" t="s">
        <v>90</v>
      </c>
      <c r="C917" t="str">
        <f t="shared" si="32"/>
        <v>AB25</v>
      </c>
      <c r="E917" s="19">
        <v>45820</v>
      </c>
      <c r="H917" t="s">
        <v>75</v>
      </c>
      <c r="I917" t="s">
        <v>76</v>
      </c>
      <c r="M917" t="str">
        <f t="shared" si="33"/>
        <v/>
      </c>
      <c r="O917">
        <v>2</v>
      </c>
    </row>
    <row r="918" spans="1:15" x14ac:dyDescent="0.45">
      <c r="A918">
        <v>25</v>
      </c>
      <c r="B918" t="s">
        <v>90</v>
      </c>
      <c r="C918" t="str">
        <f t="shared" si="32"/>
        <v>AB25</v>
      </c>
      <c r="E918" s="19">
        <v>45820</v>
      </c>
      <c r="H918" t="s">
        <v>75</v>
      </c>
      <c r="I918" t="s">
        <v>78</v>
      </c>
      <c r="M918" t="str">
        <f t="shared" si="33"/>
        <v/>
      </c>
      <c r="N918">
        <v>2</v>
      </c>
      <c r="O918">
        <v>4</v>
      </c>
    </row>
    <row r="919" spans="1:15" x14ac:dyDescent="0.45">
      <c r="A919">
        <v>25</v>
      </c>
      <c r="B919" t="s">
        <v>90</v>
      </c>
      <c r="C919" t="str">
        <f t="shared" si="32"/>
        <v>AB25</v>
      </c>
      <c r="E919" s="19">
        <v>45820</v>
      </c>
      <c r="H919" t="s">
        <v>75</v>
      </c>
      <c r="I919" t="s">
        <v>80</v>
      </c>
      <c r="K919" t="s">
        <v>77</v>
      </c>
      <c r="L919">
        <v>0.7</v>
      </c>
      <c r="M919">
        <f t="shared" si="33"/>
        <v>0.25656340004316641</v>
      </c>
    </row>
    <row r="920" spans="1:15" x14ac:dyDescent="0.45">
      <c r="A920">
        <v>25</v>
      </c>
      <c r="B920" t="s">
        <v>90</v>
      </c>
      <c r="C920" t="str">
        <f t="shared" si="32"/>
        <v>AB25</v>
      </c>
      <c r="E920" s="19">
        <v>45820</v>
      </c>
      <c r="H920" t="s">
        <v>75</v>
      </c>
      <c r="I920" t="s">
        <v>80</v>
      </c>
      <c r="K920" t="s">
        <v>77</v>
      </c>
      <c r="L920">
        <v>0.7</v>
      </c>
      <c r="M920">
        <f t="shared" si="33"/>
        <v>0.25656340004316641</v>
      </c>
    </row>
    <row r="921" spans="1:15" x14ac:dyDescent="0.45">
      <c r="A921">
        <v>25</v>
      </c>
      <c r="B921" t="s">
        <v>90</v>
      </c>
      <c r="C921" t="str">
        <f t="shared" si="32"/>
        <v>AB25</v>
      </c>
      <c r="E921" s="19">
        <v>45820</v>
      </c>
      <c r="H921" t="s">
        <v>75</v>
      </c>
      <c r="I921" t="s">
        <v>80</v>
      </c>
      <c r="K921" t="s">
        <v>79</v>
      </c>
      <c r="L921">
        <v>0.2</v>
      </c>
      <c r="M921">
        <f t="shared" si="33"/>
        <v>3.1415926535897934E-2</v>
      </c>
    </row>
    <row r="922" spans="1:15" x14ac:dyDescent="0.45">
      <c r="A922">
        <v>25</v>
      </c>
      <c r="B922" t="s">
        <v>90</v>
      </c>
      <c r="C922" t="str">
        <f t="shared" si="32"/>
        <v>AB25</v>
      </c>
      <c r="E922" s="19">
        <v>45820</v>
      </c>
      <c r="H922" t="s">
        <v>81</v>
      </c>
      <c r="I922" t="s">
        <v>76</v>
      </c>
      <c r="K922" t="s">
        <v>77</v>
      </c>
      <c r="L922">
        <v>0.5</v>
      </c>
      <c r="M922">
        <f t="shared" si="33"/>
        <v>0.1308996938995747</v>
      </c>
      <c r="O922">
        <v>2</v>
      </c>
    </row>
    <row r="923" spans="1:15" x14ac:dyDescent="0.45">
      <c r="A923">
        <v>25</v>
      </c>
      <c r="B923" t="s">
        <v>90</v>
      </c>
      <c r="C923" t="str">
        <f t="shared" si="32"/>
        <v>AB25</v>
      </c>
      <c r="E923" s="19">
        <v>45820</v>
      </c>
      <c r="H923" t="s">
        <v>81</v>
      </c>
      <c r="I923" t="s">
        <v>76</v>
      </c>
      <c r="K923" t="s">
        <v>77</v>
      </c>
      <c r="L923">
        <v>0.4</v>
      </c>
      <c r="M923">
        <f t="shared" si="33"/>
        <v>8.377580409572781E-2</v>
      </c>
    </row>
    <row r="924" spans="1:15" x14ac:dyDescent="0.45">
      <c r="A924">
        <v>25</v>
      </c>
      <c r="B924" t="s">
        <v>90</v>
      </c>
      <c r="C924" t="str">
        <f t="shared" si="32"/>
        <v>AB25</v>
      </c>
      <c r="E924" s="19">
        <v>45820</v>
      </c>
      <c r="H924" t="s">
        <v>81</v>
      </c>
      <c r="I924" t="s">
        <v>78</v>
      </c>
      <c r="K924" t="s">
        <v>79</v>
      </c>
      <c r="L924">
        <v>1</v>
      </c>
      <c r="M924">
        <f t="shared" si="33"/>
        <v>0.78539816339744828</v>
      </c>
      <c r="N924">
        <v>10</v>
      </c>
    </row>
    <row r="925" spans="1:15" x14ac:dyDescent="0.45">
      <c r="A925">
        <v>25</v>
      </c>
      <c r="B925" t="s">
        <v>90</v>
      </c>
      <c r="C925" t="str">
        <f t="shared" si="32"/>
        <v>AB25</v>
      </c>
      <c r="E925" s="19">
        <v>45820</v>
      </c>
      <c r="H925" t="s">
        <v>81</v>
      </c>
      <c r="I925" t="s">
        <v>78</v>
      </c>
      <c r="K925" t="s">
        <v>79</v>
      </c>
      <c r="L925">
        <v>0.5</v>
      </c>
      <c r="M925">
        <f t="shared" si="33"/>
        <v>0.19634954084936207</v>
      </c>
    </row>
    <row r="926" spans="1:15" x14ac:dyDescent="0.45">
      <c r="A926">
        <v>25</v>
      </c>
      <c r="B926" t="s">
        <v>90</v>
      </c>
      <c r="C926" t="str">
        <f t="shared" si="32"/>
        <v>AB25</v>
      </c>
      <c r="E926" s="19">
        <v>45820</v>
      </c>
      <c r="H926" t="s">
        <v>81</v>
      </c>
      <c r="I926" t="s">
        <v>80</v>
      </c>
      <c r="K926" t="s">
        <v>79</v>
      </c>
      <c r="L926">
        <v>0.2</v>
      </c>
      <c r="M926">
        <f t="shared" si="33"/>
        <v>3.1415926535897934E-2</v>
      </c>
      <c r="N926">
        <v>10</v>
      </c>
      <c r="O926">
        <v>4</v>
      </c>
    </row>
    <row r="927" spans="1:15" x14ac:dyDescent="0.45">
      <c r="A927">
        <v>25</v>
      </c>
      <c r="B927" t="s">
        <v>90</v>
      </c>
      <c r="C927" t="str">
        <f t="shared" si="32"/>
        <v>AB25</v>
      </c>
      <c r="E927" s="19">
        <v>45820</v>
      </c>
      <c r="H927" t="s">
        <v>81</v>
      </c>
      <c r="I927" t="s">
        <v>80</v>
      </c>
      <c r="K927" t="s">
        <v>79</v>
      </c>
      <c r="L927">
        <v>0.1</v>
      </c>
      <c r="M927">
        <f t="shared" si="33"/>
        <v>7.8539816339744835E-3</v>
      </c>
    </row>
    <row r="928" spans="1:15" x14ac:dyDescent="0.45">
      <c r="A928">
        <v>26</v>
      </c>
      <c r="B928" t="s">
        <v>90</v>
      </c>
      <c r="C928" t="str">
        <f t="shared" si="32"/>
        <v>AB26</v>
      </c>
      <c r="E928" s="19">
        <v>45820</v>
      </c>
      <c r="H928" t="s">
        <v>75</v>
      </c>
      <c r="I928" t="s">
        <v>76</v>
      </c>
      <c r="M928" t="str">
        <f t="shared" si="33"/>
        <v/>
      </c>
    </row>
    <row r="929" spans="1:16" x14ac:dyDescent="0.45">
      <c r="A929">
        <v>26</v>
      </c>
      <c r="B929" t="s">
        <v>90</v>
      </c>
      <c r="C929" t="str">
        <f t="shared" si="32"/>
        <v>AB26</v>
      </c>
      <c r="E929" s="19">
        <v>45820</v>
      </c>
      <c r="H929" t="s">
        <v>75</v>
      </c>
      <c r="I929" t="s">
        <v>78</v>
      </c>
      <c r="K929" t="s">
        <v>79</v>
      </c>
      <c r="L929">
        <v>0.3</v>
      </c>
      <c r="M929">
        <f t="shared" si="33"/>
        <v>7.0685834705770348E-2</v>
      </c>
      <c r="O929">
        <v>1</v>
      </c>
    </row>
    <row r="930" spans="1:16" x14ac:dyDescent="0.45">
      <c r="A930">
        <v>26</v>
      </c>
      <c r="B930" t="s">
        <v>90</v>
      </c>
      <c r="C930" t="str">
        <f t="shared" si="32"/>
        <v>AB26</v>
      </c>
      <c r="E930" s="19">
        <v>45820</v>
      </c>
      <c r="H930" t="s">
        <v>75</v>
      </c>
      <c r="I930" t="s">
        <v>80</v>
      </c>
      <c r="K930" t="s">
        <v>79</v>
      </c>
      <c r="L930">
        <v>0.3</v>
      </c>
      <c r="M930">
        <f t="shared" si="33"/>
        <v>7.0685834705770348E-2</v>
      </c>
    </row>
    <row r="931" spans="1:16" x14ac:dyDescent="0.45">
      <c r="A931">
        <v>26</v>
      </c>
      <c r="B931" t="s">
        <v>90</v>
      </c>
      <c r="C931" t="str">
        <f t="shared" si="32"/>
        <v>AB26</v>
      </c>
      <c r="E931" s="19">
        <v>45820</v>
      </c>
      <c r="H931" t="s">
        <v>75</v>
      </c>
      <c r="I931" t="s">
        <v>80</v>
      </c>
      <c r="K931" t="s">
        <v>79</v>
      </c>
      <c r="L931">
        <v>0.3</v>
      </c>
      <c r="M931">
        <f t="shared" si="33"/>
        <v>7.0685834705770348E-2</v>
      </c>
    </row>
    <row r="932" spans="1:16" x14ac:dyDescent="0.45">
      <c r="A932">
        <v>26</v>
      </c>
      <c r="B932" t="s">
        <v>90</v>
      </c>
      <c r="C932" t="str">
        <f t="shared" si="32"/>
        <v>AB26</v>
      </c>
      <c r="E932" s="19">
        <v>45820</v>
      </c>
      <c r="H932" t="s">
        <v>75</v>
      </c>
      <c r="I932" t="s">
        <v>80</v>
      </c>
      <c r="K932" t="s">
        <v>79</v>
      </c>
      <c r="L932">
        <v>0.3</v>
      </c>
      <c r="M932">
        <f t="shared" si="33"/>
        <v>7.0685834705770348E-2</v>
      </c>
    </row>
    <row r="933" spans="1:16" x14ac:dyDescent="0.45">
      <c r="A933">
        <v>26</v>
      </c>
      <c r="B933" t="s">
        <v>90</v>
      </c>
      <c r="C933" t="str">
        <f t="shared" si="32"/>
        <v>AB26</v>
      </c>
      <c r="E933" s="19">
        <v>45820</v>
      </c>
      <c r="H933" t="s">
        <v>81</v>
      </c>
      <c r="I933" t="s">
        <v>76</v>
      </c>
      <c r="M933" t="str">
        <f t="shared" si="33"/>
        <v/>
      </c>
      <c r="O933">
        <v>4</v>
      </c>
    </row>
    <row r="934" spans="1:16" x14ac:dyDescent="0.45">
      <c r="A934">
        <v>26</v>
      </c>
      <c r="B934" t="s">
        <v>90</v>
      </c>
      <c r="C934" t="str">
        <f t="shared" si="32"/>
        <v>AB26</v>
      </c>
      <c r="E934" s="19">
        <v>45820</v>
      </c>
      <c r="H934" t="s">
        <v>81</v>
      </c>
      <c r="I934" t="s">
        <v>78</v>
      </c>
      <c r="K934" t="s">
        <v>79</v>
      </c>
      <c r="L934">
        <v>0.8</v>
      </c>
      <c r="M934">
        <f t="shared" si="33"/>
        <v>0.50265482457436694</v>
      </c>
    </row>
    <row r="935" spans="1:16" x14ac:dyDescent="0.45">
      <c r="A935">
        <v>26</v>
      </c>
      <c r="B935" t="s">
        <v>90</v>
      </c>
      <c r="C935" t="str">
        <f t="shared" si="32"/>
        <v>AB26</v>
      </c>
      <c r="E935" s="19">
        <v>45820</v>
      </c>
      <c r="H935" t="s">
        <v>81</v>
      </c>
      <c r="I935" t="s">
        <v>78</v>
      </c>
      <c r="K935" t="s">
        <v>79</v>
      </c>
      <c r="L935">
        <v>0.2</v>
      </c>
      <c r="M935">
        <f t="shared" si="33"/>
        <v>3.1415926535897934E-2</v>
      </c>
    </row>
    <row r="936" spans="1:16" x14ac:dyDescent="0.45">
      <c r="A936">
        <v>26</v>
      </c>
      <c r="B936" t="s">
        <v>90</v>
      </c>
      <c r="C936" t="str">
        <f t="shared" si="32"/>
        <v>AB26</v>
      </c>
      <c r="E936" s="19">
        <v>45820</v>
      </c>
      <c r="H936" t="s">
        <v>81</v>
      </c>
      <c r="I936" t="s">
        <v>78</v>
      </c>
      <c r="K936" t="s">
        <v>79</v>
      </c>
      <c r="L936">
        <v>0.2</v>
      </c>
      <c r="M936">
        <f t="shared" si="33"/>
        <v>3.1415926535897934E-2</v>
      </c>
    </row>
    <row r="937" spans="1:16" x14ac:dyDescent="0.45">
      <c r="A937">
        <v>26</v>
      </c>
      <c r="B937" t="s">
        <v>90</v>
      </c>
      <c r="C937" t="str">
        <f t="shared" si="32"/>
        <v>AB26</v>
      </c>
      <c r="E937" s="19">
        <v>45820</v>
      </c>
      <c r="H937" t="s">
        <v>81</v>
      </c>
      <c r="I937" t="s">
        <v>80</v>
      </c>
      <c r="K937" t="s">
        <v>77</v>
      </c>
      <c r="L937">
        <v>0.8</v>
      </c>
      <c r="M937">
        <f t="shared" si="33"/>
        <v>0.33510321638291124</v>
      </c>
      <c r="P937">
        <v>1</v>
      </c>
    </row>
    <row r="938" spans="1:16" x14ac:dyDescent="0.45">
      <c r="A938">
        <v>26</v>
      </c>
      <c r="B938" t="s">
        <v>90</v>
      </c>
      <c r="C938" t="str">
        <f t="shared" si="32"/>
        <v>AB26</v>
      </c>
      <c r="E938" s="19">
        <v>45820</v>
      </c>
      <c r="H938" t="s">
        <v>81</v>
      </c>
      <c r="I938" t="s">
        <v>80</v>
      </c>
      <c r="K938" t="s">
        <v>79</v>
      </c>
      <c r="L938">
        <v>0.2</v>
      </c>
      <c r="M938">
        <f t="shared" si="33"/>
        <v>3.1415926535897934E-2</v>
      </c>
    </row>
    <row r="939" spans="1:16" x14ac:dyDescent="0.45">
      <c r="A939">
        <v>27</v>
      </c>
      <c r="B939" t="s">
        <v>90</v>
      </c>
      <c r="C939" t="str">
        <f t="shared" si="32"/>
        <v>AB27</v>
      </c>
      <c r="E939" s="19">
        <v>45820</v>
      </c>
      <c r="H939" t="s">
        <v>75</v>
      </c>
      <c r="I939" t="s">
        <v>76</v>
      </c>
      <c r="M939" t="str">
        <f t="shared" si="33"/>
        <v/>
      </c>
    </row>
    <row r="940" spans="1:16" x14ac:dyDescent="0.45">
      <c r="A940">
        <v>27</v>
      </c>
      <c r="B940" t="s">
        <v>90</v>
      </c>
      <c r="C940" t="str">
        <f t="shared" si="32"/>
        <v>AB27</v>
      </c>
      <c r="E940" s="19">
        <v>45820</v>
      </c>
      <c r="H940" t="s">
        <v>75</v>
      </c>
      <c r="I940" t="s">
        <v>78</v>
      </c>
      <c r="K940" t="s">
        <v>79</v>
      </c>
      <c r="L940">
        <v>0.2</v>
      </c>
      <c r="M940">
        <f t="shared" si="33"/>
        <v>3.1415926535897934E-2</v>
      </c>
      <c r="N940">
        <v>1</v>
      </c>
    </row>
    <row r="941" spans="1:16" x14ac:dyDescent="0.45">
      <c r="A941">
        <v>27</v>
      </c>
      <c r="B941" t="s">
        <v>90</v>
      </c>
      <c r="C941" t="str">
        <f t="shared" si="32"/>
        <v>AB27</v>
      </c>
      <c r="E941" s="19">
        <v>45820</v>
      </c>
      <c r="H941" t="s">
        <v>75</v>
      </c>
      <c r="I941" t="s">
        <v>78</v>
      </c>
      <c r="K941" t="s">
        <v>79</v>
      </c>
      <c r="L941">
        <v>0.1</v>
      </c>
      <c r="M941">
        <f t="shared" si="33"/>
        <v>7.8539816339744835E-3</v>
      </c>
    </row>
    <row r="942" spans="1:16" x14ac:dyDescent="0.45">
      <c r="A942">
        <v>27</v>
      </c>
      <c r="B942" t="s">
        <v>90</v>
      </c>
      <c r="C942" t="str">
        <f t="shared" si="32"/>
        <v>AB27</v>
      </c>
      <c r="E942" s="19">
        <v>45820</v>
      </c>
      <c r="H942" t="s">
        <v>75</v>
      </c>
      <c r="I942" t="s">
        <v>78</v>
      </c>
      <c r="K942" t="s">
        <v>79</v>
      </c>
      <c r="L942">
        <v>0.1</v>
      </c>
      <c r="M942">
        <f t="shared" si="33"/>
        <v>7.8539816339744835E-3</v>
      </c>
    </row>
    <row r="943" spans="1:16" x14ac:dyDescent="0.45">
      <c r="A943">
        <v>27</v>
      </c>
      <c r="B943" t="s">
        <v>90</v>
      </c>
      <c r="C943" t="str">
        <f t="shared" si="32"/>
        <v>AB27</v>
      </c>
      <c r="E943" s="19">
        <v>45820</v>
      </c>
      <c r="H943" t="s">
        <v>75</v>
      </c>
      <c r="I943" t="s">
        <v>78</v>
      </c>
      <c r="K943" t="s">
        <v>79</v>
      </c>
      <c r="L943">
        <v>0.2</v>
      </c>
      <c r="M943">
        <f t="shared" si="33"/>
        <v>3.1415926535897934E-2</v>
      </c>
    </row>
    <row r="944" spans="1:16" x14ac:dyDescent="0.45">
      <c r="A944">
        <v>27</v>
      </c>
      <c r="B944" t="s">
        <v>90</v>
      </c>
      <c r="C944" t="str">
        <f t="shared" si="32"/>
        <v>AB27</v>
      </c>
      <c r="E944" s="19">
        <v>45820</v>
      </c>
      <c r="H944" t="s">
        <v>75</v>
      </c>
      <c r="I944" t="s">
        <v>80</v>
      </c>
      <c r="K944" t="s">
        <v>77</v>
      </c>
      <c r="L944">
        <v>1.2</v>
      </c>
      <c r="M944">
        <f t="shared" si="33"/>
        <v>0.7539822368615503</v>
      </c>
      <c r="O944">
        <v>2</v>
      </c>
    </row>
    <row r="945" spans="1:15" x14ac:dyDescent="0.45">
      <c r="A945">
        <v>27</v>
      </c>
      <c r="B945" t="s">
        <v>90</v>
      </c>
      <c r="C945" t="str">
        <f t="shared" si="32"/>
        <v>AB27</v>
      </c>
      <c r="E945" s="19">
        <v>45820</v>
      </c>
      <c r="H945" t="s">
        <v>75</v>
      </c>
      <c r="I945" t="s">
        <v>80</v>
      </c>
      <c r="K945" t="s">
        <v>77</v>
      </c>
      <c r="L945">
        <v>0.5</v>
      </c>
      <c r="M945">
        <f t="shared" si="33"/>
        <v>0.1308996938995747</v>
      </c>
    </row>
    <row r="946" spans="1:15" x14ac:dyDescent="0.45">
      <c r="A946">
        <v>27</v>
      </c>
      <c r="B946" t="s">
        <v>90</v>
      </c>
      <c r="C946" t="str">
        <f t="shared" si="32"/>
        <v>AB27</v>
      </c>
      <c r="E946" s="19">
        <v>45820</v>
      </c>
      <c r="H946" t="s">
        <v>75</v>
      </c>
      <c r="I946" t="s">
        <v>80</v>
      </c>
      <c r="K946" t="s">
        <v>79</v>
      </c>
      <c r="L946">
        <v>0.2</v>
      </c>
      <c r="M946">
        <f t="shared" si="33"/>
        <v>3.1415926535897934E-2</v>
      </c>
    </row>
    <row r="947" spans="1:15" x14ac:dyDescent="0.45">
      <c r="A947">
        <v>27</v>
      </c>
      <c r="B947" t="s">
        <v>90</v>
      </c>
      <c r="C947" t="str">
        <f t="shared" si="32"/>
        <v>AB27</v>
      </c>
      <c r="E947" s="19">
        <v>45820</v>
      </c>
      <c r="H947" t="s">
        <v>75</v>
      </c>
      <c r="I947" t="s">
        <v>80</v>
      </c>
      <c r="K947" t="s">
        <v>79</v>
      </c>
      <c r="L947">
        <v>0.3</v>
      </c>
      <c r="M947">
        <f t="shared" si="33"/>
        <v>7.0685834705770348E-2</v>
      </c>
    </row>
    <row r="948" spans="1:15" x14ac:dyDescent="0.45">
      <c r="A948">
        <v>27</v>
      </c>
      <c r="B948" t="s">
        <v>90</v>
      </c>
      <c r="C948" t="str">
        <f t="shared" si="32"/>
        <v>AB27</v>
      </c>
      <c r="E948" s="19">
        <v>45820</v>
      </c>
      <c r="H948" t="s">
        <v>81</v>
      </c>
      <c r="I948" t="s">
        <v>76</v>
      </c>
      <c r="M948" t="str">
        <f t="shared" si="33"/>
        <v/>
      </c>
      <c r="O948">
        <v>2</v>
      </c>
    </row>
    <row r="949" spans="1:15" x14ac:dyDescent="0.45">
      <c r="A949">
        <v>27</v>
      </c>
      <c r="B949" t="s">
        <v>90</v>
      </c>
      <c r="C949" t="str">
        <f t="shared" ref="C949:C1012" si="34">"A" &amp; UPPER(LEFT(B949,1)) &amp; A949</f>
        <v>AB27</v>
      </c>
      <c r="E949" s="19">
        <v>45820</v>
      </c>
      <c r="H949" t="s">
        <v>81</v>
      </c>
      <c r="I949" t="s">
        <v>78</v>
      </c>
      <c r="L949">
        <v>1</v>
      </c>
      <c r="M949" t="str">
        <f t="shared" si="33"/>
        <v/>
      </c>
      <c r="N949">
        <v>2</v>
      </c>
      <c r="O949">
        <v>2</v>
      </c>
    </row>
    <row r="950" spans="1:15" x14ac:dyDescent="0.45">
      <c r="A950">
        <v>27</v>
      </c>
      <c r="B950" t="s">
        <v>90</v>
      </c>
      <c r="C950" t="str">
        <f t="shared" si="34"/>
        <v>AB27</v>
      </c>
      <c r="E950" s="19">
        <v>45820</v>
      </c>
      <c r="H950" t="s">
        <v>81</v>
      </c>
      <c r="I950" t="s">
        <v>78</v>
      </c>
      <c r="L950">
        <v>0.2</v>
      </c>
      <c r="M950" t="str">
        <f t="shared" si="33"/>
        <v/>
      </c>
    </row>
    <row r="951" spans="1:15" x14ac:dyDescent="0.45">
      <c r="A951">
        <v>27</v>
      </c>
      <c r="B951" t="s">
        <v>90</v>
      </c>
      <c r="C951" t="str">
        <f t="shared" si="34"/>
        <v>AB27</v>
      </c>
      <c r="E951" s="19">
        <v>45820</v>
      </c>
      <c r="H951" t="s">
        <v>81</v>
      </c>
      <c r="I951" t="s">
        <v>80</v>
      </c>
      <c r="K951" t="s">
        <v>77</v>
      </c>
      <c r="L951">
        <v>1.5</v>
      </c>
      <c r="M951">
        <f t="shared" si="33"/>
        <v>1.1780972450961724</v>
      </c>
      <c r="N951">
        <v>2</v>
      </c>
    </row>
    <row r="952" spans="1:15" x14ac:dyDescent="0.45">
      <c r="A952">
        <v>27</v>
      </c>
      <c r="B952" t="s">
        <v>90</v>
      </c>
      <c r="C952" t="str">
        <f t="shared" si="34"/>
        <v>AB27</v>
      </c>
      <c r="E952" s="19">
        <v>45820</v>
      </c>
      <c r="H952" t="s">
        <v>81</v>
      </c>
      <c r="I952" t="s">
        <v>80</v>
      </c>
      <c r="K952" t="s">
        <v>77</v>
      </c>
      <c r="L952">
        <v>1</v>
      </c>
      <c r="M952">
        <f t="shared" si="33"/>
        <v>0.52359877559829882</v>
      </c>
    </row>
    <row r="953" spans="1:15" x14ac:dyDescent="0.45">
      <c r="A953">
        <v>27</v>
      </c>
      <c r="B953" t="s">
        <v>90</v>
      </c>
      <c r="C953" t="str">
        <f t="shared" si="34"/>
        <v>AB27</v>
      </c>
      <c r="E953" s="19">
        <v>45820</v>
      </c>
      <c r="H953" t="s">
        <v>81</v>
      </c>
      <c r="I953" t="s">
        <v>80</v>
      </c>
      <c r="K953" t="s">
        <v>79</v>
      </c>
      <c r="L953">
        <v>0.8</v>
      </c>
      <c r="M953">
        <f t="shared" si="33"/>
        <v>0.50265482457436694</v>
      </c>
    </row>
    <row r="954" spans="1:15" x14ac:dyDescent="0.45">
      <c r="A954">
        <v>27</v>
      </c>
      <c r="B954" t="s">
        <v>90</v>
      </c>
      <c r="C954" t="str">
        <f t="shared" si="34"/>
        <v>AB27</v>
      </c>
      <c r="E954" s="19">
        <v>45820</v>
      </c>
      <c r="H954" t="s">
        <v>81</v>
      </c>
      <c r="I954" t="s">
        <v>80</v>
      </c>
      <c r="K954" t="s">
        <v>77</v>
      </c>
      <c r="L954">
        <v>0.4</v>
      </c>
      <c r="M954">
        <f t="shared" si="33"/>
        <v>8.377580409572781E-2</v>
      </c>
    </row>
    <row r="955" spans="1:15" x14ac:dyDescent="0.45">
      <c r="A955">
        <v>31</v>
      </c>
      <c r="B955" t="s">
        <v>90</v>
      </c>
      <c r="C955" t="str">
        <f t="shared" si="34"/>
        <v>AB31</v>
      </c>
      <c r="E955" s="19">
        <v>45820</v>
      </c>
      <c r="H955" t="s">
        <v>75</v>
      </c>
      <c r="I955" t="s">
        <v>76</v>
      </c>
      <c r="M955" t="str">
        <f t="shared" si="33"/>
        <v/>
      </c>
    </row>
    <row r="956" spans="1:15" x14ac:dyDescent="0.45">
      <c r="A956">
        <v>31</v>
      </c>
      <c r="B956" t="s">
        <v>90</v>
      </c>
      <c r="C956" t="str">
        <f t="shared" si="34"/>
        <v>AB31</v>
      </c>
      <c r="E956" s="19">
        <v>45820</v>
      </c>
      <c r="H956" t="s">
        <v>75</v>
      </c>
      <c r="I956" t="s">
        <v>78</v>
      </c>
      <c r="K956" t="s">
        <v>77</v>
      </c>
      <c r="L956">
        <v>1</v>
      </c>
      <c r="M956">
        <f t="shared" si="33"/>
        <v>0.52359877559829882</v>
      </c>
      <c r="O956">
        <v>3</v>
      </c>
    </row>
    <row r="957" spans="1:15" x14ac:dyDescent="0.45">
      <c r="A957">
        <v>31</v>
      </c>
      <c r="B957" t="s">
        <v>90</v>
      </c>
      <c r="C957" t="str">
        <f t="shared" si="34"/>
        <v>AB31</v>
      </c>
      <c r="E957" s="19">
        <v>45820</v>
      </c>
      <c r="H957" t="s">
        <v>75</v>
      </c>
      <c r="I957" t="s">
        <v>78</v>
      </c>
      <c r="K957" t="s">
        <v>77</v>
      </c>
      <c r="L957">
        <v>0.5</v>
      </c>
      <c r="M957">
        <f t="shared" si="33"/>
        <v>0.1308996938995747</v>
      </c>
    </row>
    <row r="958" spans="1:15" x14ac:dyDescent="0.45">
      <c r="A958">
        <v>31</v>
      </c>
      <c r="B958" t="s">
        <v>90</v>
      </c>
      <c r="C958" t="str">
        <f t="shared" si="34"/>
        <v>AB31</v>
      </c>
      <c r="E958" s="19">
        <v>45820</v>
      </c>
      <c r="H958" t="s">
        <v>75</v>
      </c>
      <c r="I958" t="s">
        <v>78</v>
      </c>
      <c r="K958" t="s">
        <v>77</v>
      </c>
      <c r="L958">
        <v>1.2</v>
      </c>
      <c r="M958">
        <f t="shared" si="33"/>
        <v>0.7539822368615503</v>
      </c>
    </row>
    <row r="959" spans="1:15" x14ac:dyDescent="0.45">
      <c r="A959">
        <v>31</v>
      </c>
      <c r="B959" t="s">
        <v>90</v>
      </c>
      <c r="C959" t="str">
        <f t="shared" si="34"/>
        <v>AB31</v>
      </c>
      <c r="E959" s="19">
        <v>45820</v>
      </c>
      <c r="H959" t="s">
        <v>75</v>
      </c>
      <c r="I959" t="s">
        <v>78</v>
      </c>
      <c r="K959" t="s">
        <v>79</v>
      </c>
      <c r="L959">
        <v>0.4</v>
      </c>
      <c r="M959">
        <f t="shared" si="33"/>
        <v>0.12566370614359174</v>
      </c>
    </row>
    <row r="960" spans="1:15" x14ac:dyDescent="0.45">
      <c r="A960">
        <v>31</v>
      </c>
      <c r="B960" t="s">
        <v>90</v>
      </c>
      <c r="C960" t="str">
        <f t="shared" si="34"/>
        <v>AB31</v>
      </c>
      <c r="E960" s="19">
        <v>45820</v>
      </c>
      <c r="H960" t="s">
        <v>75</v>
      </c>
      <c r="I960" t="s">
        <v>78</v>
      </c>
      <c r="K960" t="s">
        <v>79</v>
      </c>
      <c r="L960">
        <v>0.4</v>
      </c>
      <c r="M960">
        <f t="shared" si="33"/>
        <v>0.12566370614359174</v>
      </c>
    </row>
    <row r="961" spans="1:15" x14ac:dyDescent="0.45">
      <c r="A961">
        <v>31</v>
      </c>
      <c r="B961" t="s">
        <v>90</v>
      </c>
      <c r="C961" t="str">
        <f t="shared" si="34"/>
        <v>AB31</v>
      </c>
      <c r="E961" s="19">
        <v>45820</v>
      </c>
      <c r="H961" t="s">
        <v>75</v>
      </c>
      <c r="I961" t="s">
        <v>78</v>
      </c>
      <c r="K961" t="s">
        <v>79</v>
      </c>
      <c r="L961">
        <v>0.4</v>
      </c>
      <c r="M961">
        <f t="shared" si="33"/>
        <v>0.12566370614359174</v>
      </c>
    </row>
    <row r="962" spans="1:15" x14ac:dyDescent="0.45">
      <c r="A962">
        <v>31</v>
      </c>
      <c r="B962" t="s">
        <v>90</v>
      </c>
      <c r="C962" t="str">
        <f t="shared" si="34"/>
        <v>AB31</v>
      </c>
      <c r="E962" s="19">
        <v>45820</v>
      </c>
      <c r="H962" t="s">
        <v>75</v>
      </c>
      <c r="I962" t="s">
        <v>78</v>
      </c>
      <c r="K962" t="s">
        <v>79</v>
      </c>
      <c r="L962">
        <v>0.3</v>
      </c>
      <c r="M962">
        <f t="shared" si="33"/>
        <v>7.0685834705770348E-2</v>
      </c>
    </row>
    <row r="963" spans="1:15" x14ac:dyDescent="0.45">
      <c r="A963">
        <v>31</v>
      </c>
      <c r="B963" t="s">
        <v>90</v>
      </c>
      <c r="C963" t="str">
        <f t="shared" si="34"/>
        <v>AB31</v>
      </c>
      <c r="E963" s="19">
        <v>45820</v>
      </c>
      <c r="H963" t="s">
        <v>75</v>
      </c>
      <c r="I963" t="s">
        <v>78</v>
      </c>
      <c r="K963" t="s">
        <v>79</v>
      </c>
      <c r="L963">
        <v>0.4</v>
      </c>
      <c r="M963">
        <f t="shared" si="33"/>
        <v>0.12566370614359174</v>
      </c>
    </row>
    <row r="964" spans="1:15" x14ac:dyDescent="0.45">
      <c r="A964">
        <v>31</v>
      </c>
      <c r="B964" t="s">
        <v>90</v>
      </c>
      <c r="C964" t="str">
        <f t="shared" si="34"/>
        <v>AB31</v>
      </c>
      <c r="E964" s="19">
        <v>45820</v>
      </c>
      <c r="H964" t="s">
        <v>75</v>
      </c>
      <c r="I964" t="s">
        <v>78</v>
      </c>
      <c r="K964" t="s">
        <v>79</v>
      </c>
      <c r="L964">
        <v>0.2</v>
      </c>
      <c r="M964">
        <f t="shared" si="33"/>
        <v>3.1415926535897934E-2</v>
      </c>
    </row>
    <row r="965" spans="1:15" x14ac:dyDescent="0.45">
      <c r="A965">
        <v>31</v>
      </c>
      <c r="B965" t="s">
        <v>90</v>
      </c>
      <c r="C965" t="str">
        <f t="shared" si="34"/>
        <v>AB31</v>
      </c>
      <c r="E965" s="19">
        <v>45820</v>
      </c>
      <c r="H965" t="s">
        <v>75</v>
      </c>
      <c r="I965" t="s">
        <v>78</v>
      </c>
      <c r="K965" t="s">
        <v>79</v>
      </c>
      <c r="L965">
        <v>0.5</v>
      </c>
      <c r="M965">
        <f t="shared" si="33"/>
        <v>0.19634954084936207</v>
      </c>
    </row>
    <row r="966" spans="1:15" x14ac:dyDescent="0.45">
      <c r="A966">
        <v>31</v>
      </c>
      <c r="B966" t="s">
        <v>90</v>
      </c>
      <c r="C966" t="str">
        <f t="shared" si="34"/>
        <v>AB31</v>
      </c>
      <c r="E966" s="19">
        <v>45820</v>
      </c>
      <c r="H966" t="s">
        <v>75</v>
      </c>
      <c r="I966" t="s">
        <v>80</v>
      </c>
      <c r="K966" t="s">
        <v>77</v>
      </c>
      <c r="L966">
        <v>1</v>
      </c>
      <c r="M966">
        <f t="shared" si="33"/>
        <v>0.52359877559829882</v>
      </c>
    </row>
    <row r="967" spans="1:15" x14ac:dyDescent="0.45">
      <c r="A967">
        <v>31</v>
      </c>
      <c r="B967" t="s">
        <v>90</v>
      </c>
      <c r="C967" t="str">
        <f t="shared" si="34"/>
        <v>AB31</v>
      </c>
      <c r="E967" s="19">
        <v>45820</v>
      </c>
      <c r="H967" t="s">
        <v>75</v>
      </c>
      <c r="I967" t="s">
        <v>80</v>
      </c>
      <c r="K967" t="s">
        <v>79</v>
      </c>
      <c r="L967">
        <v>0.2</v>
      </c>
      <c r="M967">
        <f t="shared" si="33"/>
        <v>3.1415926535897934E-2</v>
      </c>
    </row>
    <row r="968" spans="1:15" x14ac:dyDescent="0.45">
      <c r="A968">
        <v>31</v>
      </c>
      <c r="B968" t="s">
        <v>90</v>
      </c>
      <c r="C968" t="str">
        <f t="shared" si="34"/>
        <v>AB31</v>
      </c>
      <c r="E968" s="19">
        <v>45820</v>
      </c>
      <c r="H968" t="s">
        <v>75</v>
      </c>
      <c r="I968" t="s">
        <v>80</v>
      </c>
      <c r="K968" t="s">
        <v>79</v>
      </c>
      <c r="L968">
        <v>0.2</v>
      </c>
      <c r="M968">
        <f t="shared" si="33"/>
        <v>3.1415926535897934E-2</v>
      </c>
    </row>
    <row r="969" spans="1:15" x14ac:dyDescent="0.45">
      <c r="A969">
        <v>31</v>
      </c>
      <c r="B969" t="s">
        <v>90</v>
      </c>
      <c r="C969" t="str">
        <f t="shared" si="34"/>
        <v>AB31</v>
      </c>
      <c r="E969" s="19">
        <v>45820</v>
      </c>
      <c r="H969" t="s">
        <v>75</v>
      </c>
      <c r="I969" t="s">
        <v>80</v>
      </c>
      <c r="K969" t="s">
        <v>79</v>
      </c>
      <c r="L969">
        <v>0.3</v>
      </c>
      <c r="M969">
        <f t="shared" si="33"/>
        <v>7.0685834705770348E-2</v>
      </c>
    </row>
    <row r="970" spans="1:15" x14ac:dyDescent="0.45">
      <c r="A970">
        <v>31</v>
      </c>
      <c r="B970" t="s">
        <v>90</v>
      </c>
      <c r="C970" t="str">
        <f t="shared" si="34"/>
        <v>AB31</v>
      </c>
      <c r="E970" s="19">
        <v>45820</v>
      </c>
      <c r="H970" t="s">
        <v>75</v>
      </c>
      <c r="I970" t="s">
        <v>80</v>
      </c>
      <c r="K970" t="s">
        <v>79</v>
      </c>
      <c r="L970">
        <v>0.6</v>
      </c>
      <c r="M970">
        <f t="shared" si="33"/>
        <v>0.28274333882308139</v>
      </c>
    </row>
    <row r="971" spans="1:15" x14ac:dyDescent="0.45">
      <c r="A971">
        <v>31</v>
      </c>
      <c r="B971" t="s">
        <v>90</v>
      </c>
      <c r="C971" t="str">
        <f t="shared" si="34"/>
        <v>AB31</v>
      </c>
      <c r="E971" s="19">
        <v>45820</v>
      </c>
      <c r="H971" t="s">
        <v>75</v>
      </c>
      <c r="I971" t="s">
        <v>80</v>
      </c>
      <c r="K971" t="s">
        <v>79</v>
      </c>
      <c r="L971">
        <v>0.8</v>
      </c>
      <c r="M971">
        <f t="shared" si="33"/>
        <v>0.50265482457436694</v>
      </c>
    </row>
    <row r="972" spans="1:15" x14ac:dyDescent="0.45">
      <c r="A972">
        <v>31</v>
      </c>
      <c r="B972" t="s">
        <v>90</v>
      </c>
      <c r="C972" t="str">
        <f t="shared" si="34"/>
        <v>AB31</v>
      </c>
      <c r="E972" s="19">
        <v>45820</v>
      </c>
      <c r="H972" t="s">
        <v>81</v>
      </c>
      <c r="I972" t="s">
        <v>76</v>
      </c>
      <c r="M972" t="str">
        <f t="shared" si="33"/>
        <v/>
      </c>
      <c r="O972">
        <v>4</v>
      </c>
    </row>
    <row r="973" spans="1:15" x14ac:dyDescent="0.45">
      <c r="A973">
        <v>31</v>
      </c>
      <c r="B973" t="s">
        <v>90</v>
      </c>
      <c r="C973" t="str">
        <f t="shared" si="34"/>
        <v>AB31</v>
      </c>
      <c r="E973" s="19">
        <v>45820</v>
      </c>
      <c r="H973" t="s">
        <v>81</v>
      </c>
      <c r="I973" t="s">
        <v>78</v>
      </c>
      <c r="K973" t="s">
        <v>77</v>
      </c>
      <c r="L973">
        <v>1.8</v>
      </c>
      <c r="M973">
        <f t="shared" ref="M973:M1036" si="35">IF(OR(L973="na", L973=""), "", IF(K973="mm", PI()*(L973/2)^2, IF(K973="ep", PI()*(L973/2)*(L973*(2/3)/2), "")))</f>
        <v>1.6964600329384882</v>
      </c>
      <c r="N973">
        <v>4</v>
      </c>
    </row>
    <row r="974" spans="1:15" x14ac:dyDescent="0.45">
      <c r="A974">
        <v>31</v>
      </c>
      <c r="B974" t="s">
        <v>90</v>
      </c>
      <c r="C974" t="str">
        <f t="shared" si="34"/>
        <v>AB31</v>
      </c>
      <c r="E974" s="19">
        <v>45820</v>
      </c>
      <c r="H974" t="s">
        <v>81</v>
      </c>
      <c r="I974" t="s">
        <v>78</v>
      </c>
      <c r="K974" t="s">
        <v>79</v>
      </c>
      <c r="L974">
        <v>0.3</v>
      </c>
      <c r="M974">
        <f t="shared" si="35"/>
        <v>7.0685834705770348E-2</v>
      </c>
    </row>
    <row r="975" spans="1:15" x14ac:dyDescent="0.45">
      <c r="A975">
        <v>31</v>
      </c>
      <c r="B975" t="s">
        <v>90</v>
      </c>
      <c r="C975" t="str">
        <f t="shared" si="34"/>
        <v>AB31</v>
      </c>
      <c r="E975" s="19">
        <v>45820</v>
      </c>
      <c r="H975" t="s">
        <v>81</v>
      </c>
      <c r="I975" t="s">
        <v>80</v>
      </c>
      <c r="K975" t="s">
        <v>79</v>
      </c>
      <c r="L975">
        <v>0.5</v>
      </c>
      <c r="M975">
        <f t="shared" si="35"/>
        <v>0.19634954084936207</v>
      </c>
      <c r="N975">
        <v>20</v>
      </c>
    </row>
    <row r="976" spans="1:15" x14ac:dyDescent="0.45">
      <c r="A976">
        <v>31</v>
      </c>
      <c r="B976" t="s">
        <v>90</v>
      </c>
      <c r="C976" t="str">
        <f t="shared" si="34"/>
        <v>AB31</v>
      </c>
      <c r="E976" s="19">
        <v>45820</v>
      </c>
      <c r="H976" t="s">
        <v>81</v>
      </c>
      <c r="I976" t="s">
        <v>80</v>
      </c>
      <c r="K976" t="s">
        <v>79</v>
      </c>
      <c r="L976">
        <v>0.3</v>
      </c>
      <c r="M976">
        <f t="shared" si="35"/>
        <v>7.0685834705770348E-2</v>
      </c>
    </row>
    <row r="977" spans="1:15" x14ac:dyDescent="0.45">
      <c r="A977">
        <v>31</v>
      </c>
      <c r="B977" t="s">
        <v>90</v>
      </c>
      <c r="C977" t="str">
        <f t="shared" si="34"/>
        <v>AB31</v>
      </c>
      <c r="E977" s="19">
        <v>45820</v>
      </c>
      <c r="H977" t="s">
        <v>81</v>
      </c>
      <c r="I977" t="s">
        <v>80</v>
      </c>
      <c r="K977" t="s">
        <v>79</v>
      </c>
      <c r="L977">
        <v>0.5</v>
      </c>
      <c r="M977">
        <f t="shared" si="35"/>
        <v>0.19634954084936207</v>
      </c>
    </row>
    <row r="978" spans="1:15" x14ac:dyDescent="0.45">
      <c r="A978">
        <v>31</v>
      </c>
      <c r="B978" t="s">
        <v>90</v>
      </c>
      <c r="C978" t="str">
        <f t="shared" si="34"/>
        <v>AB31</v>
      </c>
      <c r="E978" s="19">
        <v>45820</v>
      </c>
      <c r="H978" t="s">
        <v>81</v>
      </c>
      <c r="I978" t="s">
        <v>80</v>
      </c>
      <c r="K978" t="s">
        <v>79</v>
      </c>
      <c r="L978">
        <v>0.3</v>
      </c>
      <c r="M978">
        <f t="shared" si="35"/>
        <v>7.0685834705770348E-2</v>
      </c>
    </row>
    <row r="979" spans="1:15" x14ac:dyDescent="0.45">
      <c r="A979">
        <v>31</v>
      </c>
      <c r="B979" t="s">
        <v>90</v>
      </c>
      <c r="C979" t="str">
        <f t="shared" si="34"/>
        <v>AB31</v>
      </c>
      <c r="E979" s="19">
        <v>45820</v>
      </c>
      <c r="H979" t="s">
        <v>81</v>
      </c>
      <c r="I979" t="s">
        <v>80</v>
      </c>
      <c r="K979" t="s">
        <v>79</v>
      </c>
      <c r="L979">
        <v>0.3</v>
      </c>
      <c r="M979">
        <f t="shared" si="35"/>
        <v>7.0685834705770348E-2</v>
      </c>
    </row>
    <row r="980" spans="1:15" x14ac:dyDescent="0.45">
      <c r="A980">
        <v>31</v>
      </c>
      <c r="B980" t="s">
        <v>90</v>
      </c>
      <c r="C980" t="str">
        <f t="shared" si="34"/>
        <v>AB31</v>
      </c>
      <c r="E980" s="19">
        <v>45820</v>
      </c>
      <c r="H980" t="s">
        <v>81</v>
      </c>
      <c r="I980" t="s">
        <v>80</v>
      </c>
      <c r="K980" t="s">
        <v>79</v>
      </c>
      <c r="L980">
        <v>0.3</v>
      </c>
      <c r="M980">
        <f t="shared" si="35"/>
        <v>7.0685834705770348E-2</v>
      </c>
    </row>
    <row r="981" spans="1:15" x14ac:dyDescent="0.45">
      <c r="A981">
        <v>31</v>
      </c>
      <c r="B981" t="s">
        <v>90</v>
      </c>
      <c r="C981" t="str">
        <f t="shared" si="34"/>
        <v>AB31</v>
      </c>
      <c r="E981" s="19">
        <v>45820</v>
      </c>
      <c r="H981" t="s">
        <v>81</v>
      </c>
      <c r="I981" t="s">
        <v>80</v>
      </c>
      <c r="K981" t="s">
        <v>79</v>
      </c>
      <c r="L981">
        <v>0.3</v>
      </c>
      <c r="M981">
        <f t="shared" si="35"/>
        <v>7.0685834705770348E-2</v>
      </c>
    </row>
    <row r="982" spans="1:15" x14ac:dyDescent="0.45">
      <c r="A982">
        <v>31</v>
      </c>
      <c r="B982" t="s">
        <v>90</v>
      </c>
      <c r="C982" t="str">
        <f t="shared" si="34"/>
        <v>AB31</v>
      </c>
      <c r="E982" s="19">
        <v>45820</v>
      </c>
      <c r="H982" t="s">
        <v>81</v>
      </c>
      <c r="I982" t="s">
        <v>80</v>
      </c>
      <c r="K982" t="s">
        <v>79</v>
      </c>
      <c r="L982">
        <v>0.3</v>
      </c>
      <c r="M982">
        <f t="shared" si="35"/>
        <v>7.0685834705770348E-2</v>
      </c>
    </row>
    <row r="983" spans="1:15" x14ac:dyDescent="0.45">
      <c r="A983">
        <v>32</v>
      </c>
      <c r="B983" t="s">
        <v>90</v>
      </c>
      <c r="C983" t="str">
        <f t="shared" si="34"/>
        <v>AB32</v>
      </c>
      <c r="E983" s="19">
        <v>45820</v>
      </c>
      <c r="H983" t="s">
        <v>75</v>
      </c>
      <c r="I983" t="s">
        <v>76</v>
      </c>
      <c r="M983" t="str">
        <f t="shared" si="35"/>
        <v/>
      </c>
    </row>
    <row r="984" spans="1:15" x14ac:dyDescent="0.45">
      <c r="A984">
        <v>32</v>
      </c>
      <c r="B984" t="s">
        <v>90</v>
      </c>
      <c r="C984" t="str">
        <f t="shared" si="34"/>
        <v>AB32</v>
      </c>
      <c r="E984" s="19">
        <v>45820</v>
      </c>
      <c r="H984" t="s">
        <v>75</v>
      </c>
      <c r="I984" t="s">
        <v>78</v>
      </c>
      <c r="K984" t="s">
        <v>79</v>
      </c>
      <c r="L984">
        <v>0.9</v>
      </c>
      <c r="M984">
        <f t="shared" si="35"/>
        <v>0.63617251235193317</v>
      </c>
      <c r="O984">
        <v>2</v>
      </c>
    </row>
    <row r="985" spans="1:15" x14ac:dyDescent="0.45">
      <c r="A985">
        <v>32</v>
      </c>
      <c r="B985" t="s">
        <v>90</v>
      </c>
      <c r="C985" t="str">
        <f t="shared" si="34"/>
        <v>AB32</v>
      </c>
      <c r="E985" s="19">
        <v>45820</v>
      </c>
      <c r="H985" t="s">
        <v>75</v>
      </c>
      <c r="I985" t="s">
        <v>80</v>
      </c>
      <c r="K985" t="s">
        <v>77</v>
      </c>
      <c r="L985">
        <v>1.5</v>
      </c>
      <c r="M985">
        <f t="shared" si="35"/>
        <v>1.1780972450961724</v>
      </c>
    </row>
    <row r="986" spans="1:15" x14ac:dyDescent="0.45">
      <c r="A986">
        <v>32</v>
      </c>
      <c r="B986" t="s">
        <v>90</v>
      </c>
      <c r="C986" t="str">
        <f t="shared" si="34"/>
        <v>AB32</v>
      </c>
      <c r="E986" s="19">
        <v>45820</v>
      </c>
      <c r="H986" t="s">
        <v>81</v>
      </c>
      <c r="I986" t="s">
        <v>76</v>
      </c>
      <c r="M986" t="str">
        <f t="shared" si="35"/>
        <v/>
      </c>
      <c r="O986">
        <v>2</v>
      </c>
    </row>
    <row r="987" spans="1:15" x14ac:dyDescent="0.45">
      <c r="A987">
        <v>32</v>
      </c>
      <c r="B987" t="s">
        <v>90</v>
      </c>
      <c r="C987" t="str">
        <f t="shared" si="34"/>
        <v>AB32</v>
      </c>
      <c r="E987" s="19">
        <v>45820</v>
      </c>
      <c r="H987" t="s">
        <v>81</v>
      </c>
      <c r="I987" t="s">
        <v>78</v>
      </c>
      <c r="K987" t="s">
        <v>77</v>
      </c>
      <c r="L987">
        <v>0.4</v>
      </c>
      <c r="M987">
        <f t="shared" si="35"/>
        <v>8.377580409572781E-2</v>
      </c>
      <c r="O987">
        <v>6</v>
      </c>
    </row>
    <row r="988" spans="1:15" x14ac:dyDescent="0.45">
      <c r="A988">
        <v>32</v>
      </c>
      <c r="B988" t="s">
        <v>90</v>
      </c>
      <c r="C988" t="str">
        <f t="shared" si="34"/>
        <v>AB32</v>
      </c>
      <c r="E988" s="19">
        <v>45820</v>
      </c>
      <c r="H988" t="s">
        <v>81</v>
      </c>
      <c r="I988" t="s">
        <v>80</v>
      </c>
      <c r="M988" t="str">
        <f t="shared" si="35"/>
        <v/>
      </c>
      <c r="N988">
        <v>2</v>
      </c>
    </row>
    <row r="989" spans="1:15" x14ac:dyDescent="0.45">
      <c r="A989">
        <v>39</v>
      </c>
      <c r="B989" t="s">
        <v>89</v>
      </c>
      <c r="C989" t="str">
        <f t="shared" si="34"/>
        <v>AG39</v>
      </c>
      <c r="E989" s="19">
        <v>45820</v>
      </c>
      <c r="H989" t="s">
        <v>75</v>
      </c>
      <c r="I989" t="s">
        <v>76</v>
      </c>
      <c r="M989" t="str">
        <f t="shared" si="35"/>
        <v/>
      </c>
      <c r="O989">
        <v>1</v>
      </c>
    </row>
    <row r="990" spans="1:15" x14ac:dyDescent="0.45">
      <c r="A990">
        <v>39</v>
      </c>
      <c r="B990" t="s">
        <v>89</v>
      </c>
      <c r="C990" t="str">
        <f t="shared" si="34"/>
        <v>AG39</v>
      </c>
      <c r="E990" s="19">
        <v>45820</v>
      </c>
      <c r="H990" t="s">
        <v>75</v>
      </c>
      <c r="I990" t="s">
        <v>78</v>
      </c>
      <c r="K990" t="s">
        <v>79</v>
      </c>
      <c r="L990">
        <v>0.2</v>
      </c>
      <c r="M990">
        <f t="shared" si="35"/>
        <v>3.1415926535897934E-2</v>
      </c>
      <c r="N990">
        <v>3</v>
      </c>
      <c r="O990">
        <v>9</v>
      </c>
    </row>
    <row r="991" spans="1:15" x14ac:dyDescent="0.45">
      <c r="A991">
        <v>39</v>
      </c>
      <c r="B991" t="s">
        <v>89</v>
      </c>
      <c r="C991" t="str">
        <f t="shared" si="34"/>
        <v>AG39</v>
      </c>
      <c r="E991" s="19">
        <v>45820</v>
      </c>
      <c r="H991" t="s">
        <v>75</v>
      </c>
      <c r="I991" t="s">
        <v>78</v>
      </c>
      <c r="K991" t="s">
        <v>79</v>
      </c>
      <c r="L991">
        <v>0.1</v>
      </c>
      <c r="M991">
        <f t="shared" si="35"/>
        <v>7.8539816339744835E-3</v>
      </c>
    </row>
    <row r="992" spans="1:15" x14ac:dyDescent="0.45">
      <c r="A992">
        <v>39</v>
      </c>
      <c r="B992" t="s">
        <v>89</v>
      </c>
      <c r="C992" t="str">
        <f t="shared" si="34"/>
        <v>AG39</v>
      </c>
      <c r="E992" s="19">
        <v>45820</v>
      </c>
      <c r="H992" t="s">
        <v>75</v>
      </c>
      <c r="I992" t="s">
        <v>78</v>
      </c>
      <c r="K992" t="s">
        <v>79</v>
      </c>
      <c r="L992">
        <v>0.1</v>
      </c>
      <c r="M992">
        <f t="shared" si="35"/>
        <v>7.8539816339744835E-3</v>
      </c>
    </row>
    <row r="993" spans="1:15" x14ac:dyDescent="0.45">
      <c r="A993">
        <v>39</v>
      </c>
      <c r="B993" t="s">
        <v>89</v>
      </c>
      <c r="C993" t="str">
        <f t="shared" si="34"/>
        <v>AG39</v>
      </c>
      <c r="E993" s="19">
        <v>45820</v>
      </c>
      <c r="H993" t="s">
        <v>75</v>
      </c>
      <c r="I993" t="s">
        <v>78</v>
      </c>
      <c r="K993" t="s">
        <v>79</v>
      </c>
      <c r="L993">
        <v>0.1</v>
      </c>
      <c r="M993">
        <f t="shared" si="35"/>
        <v>7.8539816339744835E-3</v>
      </c>
    </row>
    <row r="994" spans="1:15" x14ac:dyDescent="0.45">
      <c r="A994">
        <v>39</v>
      </c>
      <c r="B994" t="s">
        <v>89</v>
      </c>
      <c r="C994" t="str">
        <f t="shared" si="34"/>
        <v>AG39</v>
      </c>
      <c r="E994" s="19">
        <v>45820</v>
      </c>
      <c r="H994" t="s">
        <v>75</v>
      </c>
      <c r="I994" t="s">
        <v>78</v>
      </c>
      <c r="K994" t="s">
        <v>79</v>
      </c>
      <c r="L994">
        <v>0.1</v>
      </c>
      <c r="M994">
        <f t="shared" si="35"/>
        <v>7.8539816339744835E-3</v>
      </c>
    </row>
    <row r="995" spans="1:15" x14ac:dyDescent="0.45">
      <c r="A995">
        <v>39</v>
      </c>
      <c r="B995" t="s">
        <v>89</v>
      </c>
      <c r="C995" t="str">
        <f t="shared" si="34"/>
        <v>AG39</v>
      </c>
      <c r="E995" s="19">
        <v>45820</v>
      </c>
      <c r="H995" t="s">
        <v>75</v>
      </c>
      <c r="I995" t="s">
        <v>80</v>
      </c>
      <c r="K995" t="s">
        <v>77</v>
      </c>
      <c r="L995">
        <v>0.9</v>
      </c>
      <c r="M995">
        <f t="shared" si="35"/>
        <v>0.42411500823462206</v>
      </c>
      <c r="O995">
        <v>3</v>
      </c>
    </row>
    <row r="996" spans="1:15" x14ac:dyDescent="0.45">
      <c r="A996">
        <v>39</v>
      </c>
      <c r="B996" t="s">
        <v>89</v>
      </c>
      <c r="C996" t="str">
        <f t="shared" si="34"/>
        <v>AG39</v>
      </c>
      <c r="E996" s="19">
        <v>45820</v>
      </c>
      <c r="H996" t="s">
        <v>81</v>
      </c>
      <c r="I996" t="s">
        <v>76</v>
      </c>
      <c r="M996" t="str">
        <f t="shared" si="35"/>
        <v/>
      </c>
      <c r="O996">
        <v>1</v>
      </c>
    </row>
    <row r="997" spans="1:15" x14ac:dyDescent="0.45">
      <c r="A997">
        <v>39</v>
      </c>
      <c r="B997" t="s">
        <v>89</v>
      </c>
      <c r="C997" t="str">
        <f t="shared" si="34"/>
        <v>AG39</v>
      </c>
      <c r="E997" s="19">
        <v>45820</v>
      </c>
      <c r="H997" t="s">
        <v>81</v>
      </c>
      <c r="I997" t="s">
        <v>78</v>
      </c>
      <c r="K997" t="s">
        <v>79</v>
      </c>
      <c r="L997">
        <v>0.2</v>
      </c>
      <c r="M997">
        <f t="shared" si="35"/>
        <v>3.1415926535897934E-2</v>
      </c>
      <c r="N997">
        <v>1</v>
      </c>
      <c r="O997">
        <v>6</v>
      </c>
    </row>
    <row r="998" spans="1:15" x14ac:dyDescent="0.45">
      <c r="A998">
        <v>39</v>
      </c>
      <c r="B998" t="s">
        <v>89</v>
      </c>
      <c r="C998" t="str">
        <f t="shared" si="34"/>
        <v>AG39</v>
      </c>
      <c r="E998" s="19">
        <v>45820</v>
      </c>
      <c r="H998" t="s">
        <v>81</v>
      </c>
      <c r="I998" t="s">
        <v>78</v>
      </c>
      <c r="K998" t="s">
        <v>79</v>
      </c>
      <c r="L998">
        <v>0.2</v>
      </c>
      <c r="M998">
        <f t="shared" si="35"/>
        <v>3.1415926535897934E-2</v>
      </c>
    </row>
    <row r="999" spans="1:15" x14ac:dyDescent="0.45">
      <c r="A999">
        <v>39</v>
      </c>
      <c r="B999" t="s">
        <v>89</v>
      </c>
      <c r="C999" t="str">
        <f t="shared" si="34"/>
        <v>AG39</v>
      </c>
      <c r="E999" s="19">
        <v>45820</v>
      </c>
      <c r="H999" t="s">
        <v>81</v>
      </c>
      <c r="I999" t="s">
        <v>78</v>
      </c>
      <c r="K999" t="s">
        <v>79</v>
      </c>
      <c r="L999">
        <v>0.2</v>
      </c>
      <c r="M999">
        <f t="shared" si="35"/>
        <v>3.1415926535897934E-2</v>
      </c>
    </row>
    <row r="1000" spans="1:15" x14ac:dyDescent="0.45">
      <c r="A1000">
        <v>39</v>
      </c>
      <c r="B1000" t="s">
        <v>89</v>
      </c>
      <c r="C1000" t="str">
        <f t="shared" si="34"/>
        <v>AG39</v>
      </c>
      <c r="E1000" s="19">
        <v>45820</v>
      </c>
      <c r="H1000" t="s">
        <v>81</v>
      </c>
      <c r="I1000" t="s">
        <v>78</v>
      </c>
      <c r="K1000" t="s">
        <v>79</v>
      </c>
      <c r="L1000">
        <v>0.2</v>
      </c>
      <c r="M1000">
        <f t="shared" si="35"/>
        <v>3.1415926535897934E-2</v>
      </c>
    </row>
    <row r="1001" spans="1:15" x14ac:dyDescent="0.45">
      <c r="A1001">
        <v>39</v>
      </c>
      <c r="B1001" t="s">
        <v>89</v>
      </c>
      <c r="C1001" t="str">
        <f t="shared" si="34"/>
        <v>AG39</v>
      </c>
      <c r="E1001" s="19">
        <v>45820</v>
      </c>
      <c r="H1001" t="s">
        <v>81</v>
      </c>
      <c r="I1001" t="s">
        <v>78</v>
      </c>
      <c r="K1001" t="s">
        <v>79</v>
      </c>
      <c r="L1001">
        <v>0.1</v>
      </c>
      <c r="M1001">
        <f t="shared" si="35"/>
        <v>7.8539816339744835E-3</v>
      </c>
    </row>
    <row r="1002" spans="1:15" x14ac:dyDescent="0.45">
      <c r="A1002">
        <v>39</v>
      </c>
      <c r="B1002" t="s">
        <v>89</v>
      </c>
      <c r="C1002" t="str">
        <f t="shared" si="34"/>
        <v>AG39</v>
      </c>
      <c r="E1002" s="19">
        <v>45820</v>
      </c>
      <c r="H1002" t="s">
        <v>81</v>
      </c>
      <c r="I1002" t="s">
        <v>78</v>
      </c>
      <c r="K1002" t="s">
        <v>79</v>
      </c>
      <c r="L1002">
        <v>0.1</v>
      </c>
      <c r="M1002">
        <f t="shared" si="35"/>
        <v>7.8539816339744835E-3</v>
      </c>
    </row>
    <row r="1003" spans="1:15" x14ac:dyDescent="0.45">
      <c r="A1003">
        <v>39</v>
      </c>
      <c r="B1003" t="s">
        <v>89</v>
      </c>
      <c r="C1003" t="str">
        <f t="shared" si="34"/>
        <v>AG39</v>
      </c>
      <c r="E1003" s="19">
        <v>45820</v>
      </c>
      <c r="H1003" t="s">
        <v>81</v>
      </c>
      <c r="I1003" t="s">
        <v>80</v>
      </c>
      <c r="K1003" t="s">
        <v>79</v>
      </c>
      <c r="L1003">
        <v>0.2</v>
      </c>
      <c r="M1003">
        <f t="shared" si="35"/>
        <v>3.1415926535897934E-2</v>
      </c>
    </row>
    <row r="1004" spans="1:15" x14ac:dyDescent="0.45">
      <c r="A1004">
        <v>39</v>
      </c>
      <c r="B1004" t="s">
        <v>89</v>
      </c>
      <c r="C1004" t="str">
        <f t="shared" si="34"/>
        <v>AG39</v>
      </c>
      <c r="E1004" s="19">
        <v>45820</v>
      </c>
      <c r="H1004" t="s">
        <v>81</v>
      </c>
      <c r="I1004" t="s">
        <v>80</v>
      </c>
      <c r="K1004" t="s">
        <v>79</v>
      </c>
      <c r="L1004">
        <v>0.2</v>
      </c>
      <c r="M1004">
        <f t="shared" si="35"/>
        <v>3.1415926535897934E-2</v>
      </c>
    </row>
    <row r="1005" spans="1:15" x14ac:dyDescent="0.45">
      <c r="A1005">
        <v>39</v>
      </c>
      <c r="B1005" t="s">
        <v>89</v>
      </c>
      <c r="C1005" t="str">
        <f t="shared" si="34"/>
        <v>AG39</v>
      </c>
      <c r="E1005" s="19">
        <v>45820</v>
      </c>
      <c r="H1005" t="s">
        <v>81</v>
      </c>
      <c r="I1005" t="s">
        <v>80</v>
      </c>
      <c r="K1005" t="s">
        <v>77</v>
      </c>
      <c r="L1005">
        <v>0.4</v>
      </c>
      <c r="M1005">
        <f t="shared" si="35"/>
        <v>8.377580409572781E-2</v>
      </c>
    </row>
    <row r="1006" spans="1:15" x14ac:dyDescent="0.45">
      <c r="A1006">
        <v>40</v>
      </c>
      <c r="B1006" t="s">
        <v>89</v>
      </c>
      <c r="C1006" t="str">
        <f t="shared" si="34"/>
        <v>AG40</v>
      </c>
      <c r="E1006" s="19">
        <v>45820</v>
      </c>
      <c r="H1006" t="s">
        <v>75</v>
      </c>
      <c r="I1006" t="s">
        <v>76</v>
      </c>
      <c r="M1006" t="str">
        <f t="shared" si="35"/>
        <v/>
      </c>
    </row>
    <row r="1007" spans="1:15" x14ac:dyDescent="0.45">
      <c r="A1007">
        <v>40</v>
      </c>
      <c r="B1007" t="s">
        <v>89</v>
      </c>
      <c r="C1007" t="str">
        <f t="shared" si="34"/>
        <v>AG40</v>
      </c>
      <c r="E1007" s="19">
        <v>45820</v>
      </c>
      <c r="H1007" t="s">
        <v>75</v>
      </c>
      <c r="I1007" t="s">
        <v>78</v>
      </c>
      <c r="K1007" t="s">
        <v>79</v>
      </c>
      <c r="L1007">
        <v>0.2</v>
      </c>
      <c r="M1007">
        <f t="shared" si="35"/>
        <v>3.1415926535897934E-2</v>
      </c>
      <c r="O1007">
        <v>6</v>
      </c>
    </row>
    <row r="1008" spans="1:15" x14ac:dyDescent="0.45">
      <c r="A1008">
        <v>40</v>
      </c>
      <c r="B1008" t="s">
        <v>89</v>
      </c>
      <c r="C1008" t="str">
        <f t="shared" si="34"/>
        <v>AG40</v>
      </c>
      <c r="E1008" s="19">
        <v>45820</v>
      </c>
      <c r="H1008" t="s">
        <v>75</v>
      </c>
      <c r="I1008" t="s">
        <v>78</v>
      </c>
      <c r="K1008" t="s">
        <v>79</v>
      </c>
      <c r="L1008">
        <v>0.2</v>
      </c>
      <c r="M1008">
        <f t="shared" si="35"/>
        <v>3.1415926535897934E-2</v>
      </c>
    </row>
    <row r="1009" spans="1:15" x14ac:dyDescent="0.45">
      <c r="A1009">
        <v>40</v>
      </c>
      <c r="B1009" t="s">
        <v>89</v>
      </c>
      <c r="C1009" t="str">
        <f t="shared" si="34"/>
        <v>AG40</v>
      </c>
      <c r="E1009" s="19">
        <v>45820</v>
      </c>
      <c r="H1009" t="s">
        <v>75</v>
      </c>
      <c r="I1009" t="s">
        <v>78</v>
      </c>
      <c r="K1009" t="s">
        <v>79</v>
      </c>
      <c r="L1009">
        <v>0.2</v>
      </c>
      <c r="M1009">
        <f t="shared" si="35"/>
        <v>3.1415926535897934E-2</v>
      </c>
    </row>
    <row r="1010" spans="1:15" x14ac:dyDescent="0.45">
      <c r="A1010">
        <v>40</v>
      </c>
      <c r="B1010" t="s">
        <v>89</v>
      </c>
      <c r="C1010" t="str">
        <f t="shared" si="34"/>
        <v>AG40</v>
      </c>
      <c r="E1010" s="19">
        <v>45820</v>
      </c>
      <c r="H1010" t="s">
        <v>75</v>
      </c>
      <c r="I1010" t="s">
        <v>78</v>
      </c>
      <c r="K1010" t="s">
        <v>79</v>
      </c>
      <c r="L1010">
        <v>0.3</v>
      </c>
      <c r="M1010">
        <f t="shared" si="35"/>
        <v>7.0685834705770348E-2</v>
      </c>
    </row>
    <row r="1011" spans="1:15" x14ac:dyDescent="0.45">
      <c r="A1011">
        <v>40</v>
      </c>
      <c r="B1011" t="s">
        <v>89</v>
      </c>
      <c r="C1011" t="str">
        <f t="shared" si="34"/>
        <v>AG40</v>
      </c>
      <c r="E1011" s="19">
        <v>45820</v>
      </c>
      <c r="H1011" t="s">
        <v>75</v>
      </c>
      <c r="I1011" t="s">
        <v>80</v>
      </c>
      <c r="K1011" t="s">
        <v>79</v>
      </c>
      <c r="L1011">
        <v>0.2</v>
      </c>
      <c r="M1011">
        <f t="shared" si="35"/>
        <v>3.1415926535897934E-2</v>
      </c>
      <c r="O1011">
        <v>1</v>
      </c>
    </row>
    <row r="1012" spans="1:15" x14ac:dyDescent="0.45">
      <c r="A1012">
        <v>40</v>
      </c>
      <c r="B1012" t="s">
        <v>89</v>
      </c>
      <c r="C1012" t="str">
        <f t="shared" si="34"/>
        <v>AG40</v>
      </c>
      <c r="E1012" s="19">
        <v>45820</v>
      </c>
      <c r="H1012" t="s">
        <v>81</v>
      </c>
      <c r="I1012" t="s">
        <v>76</v>
      </c>
      <c r="M1012" t="str">
        <f t="shared" si="35"/>
        <v/>
      </c>
    </row>
    <row r="1013" spans="1:15" x14ac:dyDescent="0.45">
      <c r="A1013">
        <v>40</v>
      </c>
      <c r="B1013" t="s">
        <v>89</v>
      </c>
      <c r="C1013" t="str">
        <f t="shared" ref="C1013:C1072" si="36">"A" &amp; UPPER(LEFT(B1013,1)) &amp; A1013</f>
        <v>AG40</v>
      </c>
      <c r="E1013" s="19">
        <v>45820</v>
      </c>
      <c r="H1013" t="s">
        <v>81</v>
      </c>
      <c r="I1013" t="s">
        <v>78</v>
      </c>
      <c r="K1013" t="s">
        <v>77</v>
      </c>
      <c r="L1013">
        <v>0.8</v>
      </c>
      <c r="M1013">
        <f t="shared" si="35"/>
        <v>0.33510321638291124</v>
      </c>
    </row>
    <row r="1014" spans="1:15" x14ac:dyDescent="0.45">
      <c r="A1014">
        <v>40</v>
      </c>
      <c r="B1014" t="s">
        <v>89</v>
      </c>
      <c r="C1014" t="str">
        <f t="shared" si="36"/>
        <v>AG40</v>
      </c>
      <c r="E1014" s="19">
        <v>45820</v>
      </c>
      <c r="H1014" t="s">
        <v>81</v>
      </c>
      <c r="I1014" t="s">
        <v>78</v>
      </c>
      <c r="K1014" t="s">
        <v>77</v>
      </c>
      <c r="L1014">
        <v>1</v>
      </c>
      <c r="M1014">
        <f t="shared" si="35"/>
        <v>0.52359877559829882</v>
      </c>
    </row>
    <row r="1015" spans="1:15" x14ac:dyDescent="0.45">
      <c r="A1015">
        <v>40</v>
      </c>
      <c r="B1015" t="s">
        <v>89</v>
      </c>
      <c r="C1015" t="str">
        <f t="shared" si="36"/>
        <v>AG40</v>
      </c>
      <c r="E1015" s="19">
        <v>45820</v>
      </c>
      <c r="H1015" t="s">
        <v>81</v>
      </c>
      <c r="I1015" t="s">
        <v>78</v>
      </c>
      <c r="K1015" t="s">
        <v>79</v>
      </c>
      <c r="L1015">
        <v>1</v>
      </c>
      <c r="M1015">
        <f t="shared" si="35"/>
        <v>0.78539816339744828</v>
      </c>
    </row>
    <row r="1016" spans="1:15" x14ac:dyDescent="0.45">
      <c r="A1016">
        <v>40</v>
      </c>
      <c r="B1016" t="s">
        <v>89</v>
      </c>
      <c r="C1016" t="str">
        <f t="shared" si="36"/>
        <v>AG40</v>
      </c>
      <c r="E1016" s="19">
        <v>45820</v>
      </c>
      <c r="H1016" t="s">
        <v>81</v>
      </c>
      <c r="I1016" t="s">
        <v>78</v>
      </c>
      <c r="K1016" t="s">
        <v>79</v>
      </c>
      <c r="L1016">
        <v>0.2</v>
      </c>
      <c r="M1016">
        <f t="shared" si="35"/>
        <v>3.1415926535897934E-2</v>
      </c>
      <c r="N1016">
        <v>5</v>
      </c>
      <c r="O1016">
        <v>4</v>
      </c>
    </row>
    <row r="1017" spans="1:15" x14ac:dyDescent="0.45">
      <c r="A1017">
        <v>40</v>
      </c>
      <c r="B1017" t="s">
        <v>89</v>
      </c>
      <c r="C1017" t="str">
        <f t="shared" si="36"/>
        <v>AG40</v>
      </c>
      <c r="E1017" s="19">
        <v>45820</v>
      </c>
      <c r="H1017" t="s">
        <v>81</v>
      </c>
      <c r="I1017" t="s">
        <v>80</v>
      </c>
      <c r="K1017" t="s">
        <v>77</v>
      </c>
      <c r="L1017">
        <v>1</v>
      </c>
      <c r="M1017">
        <f t="shared" si="35"/>
        <v>0.52359877559829882</v>
      </c>
      <c r="N1017">
        <v>1</v>
      </c>
    </row>
    <row r="1018" spans="1:15" x14ac:dyDescent="0.45">
      <c r="A1018">
        <v>40</v>
      </c>
      <c r="B1018" t="s">
        <v>89</v>
      </c>
      <c r="C1018" t="str">
        <f t="shared" si="36"/>
        <v>AG40</v>
      </c>
      <c r="E1018" s="19">
        <v>45820</v>
      </c>
      <c r="H1018" t="s">
        <v>81</v>
      </c>
      <c r="I1018" t="s">
        <v>80</v>
      </c>
      <c r="K1018" t="s">
        <v>77</v>
      </c>
      <c r="L1018">
        <v>0.6</v>
      </c>
      <c r="M1018">
        <f t="shared" si="35"/>
        <v>0.18849555921538758</v>
      </c>
    </row>
    <row r="1019" spans="1:15" x14ac:dyDescent="0.45">
      <c r="A1019">
        <v>40</v>
      </c>
      <c r="B1019" t="s">
        <v>89</v>
      </c>
      <c r="C1019" t="str">
        <f t="shared" si="36"/>
        <v>AG40</v>
      </c>
      <c r="E1019" s="19">
        <v>45820</v>
      </c>
      <c r="H1019" t="s">
        <v>81</v>
      </c>
      <c r="I1019" t="s">
        <v>80</v>
      </c>
      <c r="K1019" t="s">
        <v>79</v>
      </c>
      <c r="L1019">
        <v>0.3</v>
      </c>
      <c r="M1019">
        <f t="shared" si="35"/>
        <v>7.0685834705770348E-2</v>
      </c>
    </row>
    <row r="1020" spans="1:15" x14ac:dyDescent="0.45">
      <c r="A1020">
        <v>42</v>
      </c>
      <c r="B1020" t="s">
        <v>89</v>
      </c>
      <c r="C1020" t="str">
        <f t="shared" si="36"/>
        <v>AG42</v>
      </c>
      <c r="E1020" s="19">
        <v>45820</v>
      </c>
      <c r="H1020" t="s">
        <v>75</v>
      </c>
      <c r="I1020" t="s">
        <v>76</v>
      </c>
      <c r="K1020" t="s">
        <v>79</v>
      </c>
      <c r="L1020">
        <v>0.2</v>
      </c>
      <c r="M1020">
        <f t="shared" si="35"/>
        <v>3.1415926535897934E-2</v>
      </c>
      <c r="O1020">
        <v>4</v>
      </c>
    </row>
    <row r="1021" spans="1:15" x14ac:dyDescent="0.45">
      <c r="A1021">
        <v>42</v>
      </c>
      <c r="B1021" t="s">
        <v>89</v>
      </c>
      <c r="C1021" t="str">
        <f t="shared" si="36"/>
        <v>AG42</v>
      </c>
      <c r="E1021" s="19">
        <v>45820</v>
      </c>
      <c r="H1021" t="s">
        <v>75</v>
      </c>
      <c r="I1021" t="s">
        <v>78</v>
      </c>
      <c r="K1021" t="s">
        <v>77</v>
      </c>
      <c r="L1021">
        <v>0.4</v>
      </c>
      <c r="M1021">
        <f t="shared" si="35"/>
        <v>8.377580409572781E-2</v>
      </c>
      <c r="O1021">
        <v>2</v>
      </c>
    </row>
    <row r="1022" spans="1:15" x14ac:dyDescent="0.45">
      <c r="A1022">
        <v>42</v>
      </c>
      <c r="B1022" t="s">
        <v>89</v>
      </c>
      <c r="C1022" t="str">
        <f t="shared" si="36"/>
        <v>AG42</v>
      </c>
      <c r="E1022" s="19">
        <v>45820</v>
      </c>
      <c r="H1022" t="s">
        <v>75</v>
      </c>
      <c r="I1022" t="s">
        <v>78</v>
      </c>
      <c r="K1022" t="s">
        <v>77</v>
      </c>
      <c r="L1022">
        <v>0.4</v>
      </c>
      <c r="M1022">
        <f t="shared" si="35"/>
        <v>8.377580409572781E-2</v>
      </c>
    </row>
    <row r="1023" spans="1:15" x14ac:dyDescent="0.45">
      <c r="A1023">
        <v>42</v>
      </c>
      <c r="B1023" t="s">
        <v>89</v>
      </c>
      <c r="C1023" t="str">
        <f t="shared" si="36"/>
        <v>AG42</v>
      </c>
      <c r="E1023" s="19">
        <v>45820</v>
      </c>
      <c r="H1023" t="s">
        <v>75</v>
      </c>
      <c r="I1023" t="s">
        <v>80</v>
      </c>
      <c r="K1023" t="s">
        <v>79</v>
      </c>
      <c r="L1023">
        <v>0.8</v>
      </c>
      <c r="M1023">
        <f t="shared" si="35"/>
        <v>0.50265482457436694</v>
      </c>
      <c r="N1023">
        <v>1</v>
      </c>
      <c r="O1023">
        <v>4</v>
      </c>
    </row>
    <row r="1024" spans="1:15" x14ac:dyDescent="0.45">
      <c r="A1024">
        <v>42</v>
      </c>
      <c r="B1024" t="s">
        <v>89</v>
      </c>
      <c r="C1024" t="str">
        <f t="shared" si="36"/>
        <v>AG42</v>
      </c>
      <c r="E1024" s="19">
        <v>45820</v>
      </c>
      <c r="H1024" t="s">
        <v>81</v>
      </c>
      <c r="I1024" t="s">
        <v>76</v>
      </c>
      <c r="M1024" t="str">
        <f t="shared" si="35"/>
        <v/>
      </c>
    </row>
    <row r="1025" spans="1:15" x14ac:dyDescent="0.45">
      <c r="A1025">
        <v>42</v>
      </c>
      <c r="B1025" t="s">
        <v>89</v>
      </c>
      <c r="C1025" t="str">
        <f t="shared" si="36"/>
        <v>AG42</v>
      </c>
      <c r="E1025" s="19">
        <v>45820</v>
      </c>
      <c r="H1025" t="s">
        <v>81</v>
      </c>
      <c r="I1025" t="s">
        <v>78</v>
      </c>
      <c r="K1025" t="s">
        <v>77</v>
      </c>
      <c r="L1025">
        <v>0.5</v>
      </c>
      <c r="M1025">
        <f t="shared" si="35"/>
        <v>0.1308996938995747</v>
      </c>
      <c r="O1025">
        <v>2</v>
      </c>
    </row>
    <row r="1026" spans="1:15" x14ac:dyDescent="0.45">
      <c r="A1026">
        <v>42</v>
      </c>
      <c r="B1026" t="s">
        <v>89</v>
      </c>
      <c r="C1026" t="str">
        <f t="shared" si="36"/>
        <v>AG42</v>
      </c>
      <c r="E1026" s="19">
        <v>45820</v>
      </c>
      <c r="H1026" t="s">
        <v>81</v>
      </c>
      <c r="I1026" t="s">
        <v>80</v>
      </c>
      <c r="K1026" t="s">
        <v>77</v>
      </c>
      <c r="L1026">
        <v>0.8</v>
      </c>
      <c r="M1026">
        <f t="shared" si="35"/>
        <v>0.33510321638291124</v>
      </c>
    </row>
    <row r="1027" spans="1:15" x14ac:dyDescent="0.45">
      <c r="A1027">
        <v>42</v>
      </c>
      <c r="B1027" t="s">
        <v>89</v>
      </c>
      <c r="C1027" t="str">
        <f t="shared" si="36"/>
        <v>AG42</v>
      </c>
      <c r="E1027" s="19">
        <v>45820</v>
      </c>
      <c r="H1027" t="s">
        <v>81</v>
      </c>
      <c r="I1027" t="s">
        <v>80</v>
      </c>
      <c r="K1027" t="s">
        <v>77</v>
      </c>
      <c r="L1027">
        <v>0.8</v>
      </c>
      <c r="M1027">
        <f t="shared" si="35"/>
        <v>0.33510321638291124</v>
      </c>
    </row>
    <row r="1028" spans="1:15" x14ac:dyDescent="0.45">
      <c r="A1028">
        <v>42</v>
      </c>
      <c r="B1028" t="s">
        <v>89</v>
      </c>
      <c r="C1028" t="str">
        <f t="shared" si="36"/>
        <v>AG42</v>
      </c>
      <c r="E1028" s="19">
        <v>45820</v>
      </c>
      <c r="H1028" t="s">
        <v>81</v>
      </c>
      <c r="I1028" t="s">
        <v>80</v>
      </c>
      <c r="K1028" t="s">
        <v>77</v>
      </c>
      <c r="L1028">
        <v>1</v>
      </c>
      <c r="M1028">
        <f t="shared" si="35"/>
        <v>0.52359877559829882</v>
      </c>
    </row>
    <row r="1029" spans="1:15" x14ac:dyDescent="0.45">
      <c r="A1029">
        <v>45</v>
      </c>
      <c r="B1029" t="s">
        <v>89</v>
      </c>
      <c r="C1029" t="str">
        <f t="shared" si="36"/>
        <v>AG45</v>
      </c>
      <c r="E1029" s="19">
        <v>45820</v>
      </c>
      <c r="H1029" t="s">
        <v>75</v>
      </c>
      <c r="I1029" t="s">
        <v>76</v>
      </c>
      <c r="M1029" t="str">
        <f t="shared" si="35"/>
        <v/>
      </c>
      <c r="O1029">
        <v>4</v>
      </c>
    </row>
    <row r="1030" spans="1:15" x14ac:dyDescent="0.45">
      <c r="A1030">
        <v>45</v>
      </c>
      <c r="B1030" t="s">
        <v>89</v>
      </c>
      <c r="C1030" t="str">
        <f t="shared" si="36"/>
        <v>AG45</v>
      </c>
      <c r="E1030" s="19">
        <v>45820</v>
      </c>
      <c r="H1030" t="s">
        <v>75</v>
      </c>
      <c r="I1030" t="s">
        <v>78</v>
      </c>
      <c r="K1030" t="s">
        <v>79</v>
      </c>
      <c r="L1030">
        <v>0.4</v>
      </c>
      <c r="M1030">
        <f t="shared" si="35"/>
        <v>0.12566370614359174</v>
      </c>
      <c r="N1030">
        <v>6</v>
      </c>
      <c r="O1030">
        <v>6</v>
      </c>
    </row>
    <row r="1031" spans="1:15" x14ac:dyDescent="0.45">
      <c r="A1031">
        <v>45</v>
      </c>
      <c r="B1031" t="s">
        <v>89</v>
      </c>
      <c r="C1031" t="str">
        <f t="shared" si="36"/>
        <v>AG45</v>
      </c>
      <c r="E1031" s="19">
        <v>45820</v>
      </c>
      <c r="H1031" t="s">
        <v>75</v>
      </c>
      <c r="I1031" t="s">
        <v>78</v>
      </c>
      <c r="K1031" t="s">
        <v>77</v>
      </c>
      <c r="L1031">
        <v>1.5</v>
      </c>
      <c r="M1031">
        <f t="shared" si="35"/>
        <v>1.1780972450961724</v>
      </c>
    </row>
    <row r="1032" spans="1:15" x14ac:dyDescent="0.45">
      <c r="A1032">
        <v>45</v>
      </c>
      <c r="B1032" t="s">
        <v>89</v>
      </c>
      <c r="C1032" t="str">
        <f t="shared" si="36"/>
        <v>AG45</v>
      </c>
      <c r="E1032" s="19">
        <v>45820</v>
      </c>
      <c r="H1032" t="s">
        <v>75</v>
      </c>
      <c r="I1032" t="s">
        <v>80</v>
      </c>
      <c r="M1032" t="str">
        <f t="shared" si="35"/>
        <v/>
      </c>
      <c r="N1032">
        <v>6</v>
      </c>
      <c r="O1032">
        <v>6</v>
      </c>
    </row>
    <row r="1033" spans="1:15" x14ac:dyDescent="0.45">
      <c r="A1033">
        <v>45</v>
      </c>
      <c r="B1033" t="s">
        <v>89</v>
      </c>
      <c r="C1033" t="str">
        <f t="shared" si="36"/>
        <v>AG45</v>
      </c>
      <c r="E1033" s="19">
        <v>45820</v>
      </c>
      <c r="H1033" t="s">
        <v>81</v>
      </c>
      <c r="I1033" t="s">
        <v>76</v>
      </c>
      <c r="M1033" t="str">
        <f t="shared" si="35"/>
        <v/>
      </c>
    </row>
    <row r="1034" spans="1:15" x14ac:dyDescent="0.45">
      <c r="A1034">
        <v>45</v>
      </c>
      <c r="B1034" t="s">
        <v>89</v>
      </c>
      <c r="C1034" t="str">
        <f t="shared" si="36"/>
        <v>AG45</v>
      </c>
      <c r="E1034" s="19">
        <v>45820</v>
      </c>
      <c r="H1034" t="s">
        <v>81</v>
      </c>
      <c r="I1034" t="s">
        <v>78</v>
      </c>
      <c r="K1034" t="s">
        <v>77</v>
      </c>
      <c r="L1034">
        <v>0.4</v>
      </c>
      <c r="M1034">
        <f t="shared" si="35"/>
        <v>8.377580409572781E-2</v>
      </c>
      <c r="N1034">
        <v>3</v>
      </c>
      <c r="O1034">
        <v>3</v>
      </c>
    </row>
    <row r="1035" spans="1:15" x14ac:dyDescent="0.45">
      <c r="A1035">
        <v>45</v>
      </c>
      <c r="B1035" t="s">
        <v>89</v>
      </c>
      <c r="C1035" t="str">
        <f t="shared" si="36"/>
        <v>AG45</v>
      </c>
      <c r="E1035" s="19">
        <v>45820</v>
      </c>
      <c r="H1035" t="s">
        <v>81</v>
      </c>
      <c r="I1035" t="s">
        <v>78</v>
      </c>
      <c r="K1035" t="s">
        <v>77</v>
      </c>
      <c r="L1035">
        <v>0.4</v>
      </c>
      <c r="M1035">
        <f t="shared" si="35"/>
        <v>8.377580409572781E-2</v>
      </c>
    </row>
    <row r="1036" spans="1:15" x14ac:dyDescent="0.45">
      <c r="A1036">
        <v>45</v>
      </c>
      <c r="B1036" t="s">
        <v>89</v>
      </c>
      <c r="C1036" t="str">
        <f t="shared" si="36"/>
        <v>AG45</v>
      </c>
      <c r="E1036" s="19">
        <v>45820</v>
      </c>
      <c r="H1036" t="s">
        <v>81</v>
      </c>
      <c r="I1036" t="s">
        <v>78</v>
      </c>
      <c r="K1036" t="s">
        <v>79</v>
      </c>
      <c r="L1036">
        <v>0.2</v>
      </c>
      <c r="M1036">
        <f t="shared" si="35"/>
        <v>3.1415926535897934E-2</v>
      </c>
    </row>
    <row r="1037" spans="1:15" x14ac:dyDescent="0.45">
      <c r="A1037">
        <v>45</v>
      </c>
      <c r="B1037" t="s">
        <v>89</v>
      </c>
      <c r="C1037" t="str">
        <f t="shared" si="36"/>
        <v>AG45</v>
      </c>
      <c r="E1037" s="19">
        <v>45820</v>
      </c>
      <c r="H1037" t="s">
        <v>81</v>
      </c>
      <c r="I1037" t="s">
        <v>78</v>
      </c>
      <c r="K1037" t="s">
        <v>79</v>
      </c>
      <c r="L1037">
        <v>0.1</v>
      </c>
      <c r="M1037">
        <f t="shared" ref="M1037:M1100" si="37">IF(OR(L1037="na", L1037=""), "", IF(K1037="mm", PI()*(L1037/2)^2, IF(K1037="ep", PI()*(L1037/2)*(L1037*(2/3)/2), "")))</f>
        <v>7.8539816339744835E-3</v>
      </c>
    </row>
    <row r="1038" spans="1:15" x14ac:dyDescent="0.45">
      <c r="A1038">
        <v>45</v>
      </c>
      <c r="B1038" t="s">
        <v>89</v>
      </c>
      <c r="C1038" t="str">
        <f t="shared" si="36"/>
        <v>AG45</v>
      </c>
      <c r="E1038" s="19">
        <v>45820</v>
      </c>
      <c r="H1038" t="s">
        <v>81</v>
      </c>
      <c r="I1038" t="s">
        <v>80</v>
      </c>
      <c r="K1038" t="s">
        <v>79</v>
      </c>
      <c r="L1038">
        <v>0.3</v>
      </c>
      <c r="M1038">
        <f t="shared" si="37"/>
        <v>7.0685834705770348E-2</v>
      </c>
      <c r="O1038">
        <v>1</v>
      </c>
    </row>
    <row r="1039" spans="1:15" x14ac:dyDescent="0.45">
      <c r="A1039">
        <v>45</v>
      </c>
      <c r="B1039" t="s">
        <v>89</v>
      </c>
      <c r="C1039" t="str">
        <f t="shared" si="36"/>
        <v>AG45</v>
      </c>
      <c r="E1039" s="19">
        <v>45820</v>
      </c>
      <c r="H1039" t="s">
        <v>81</v>
      </c>
      <c r="I1039" t="s">
        <v>80</v>
      </c>
      <c r="K1039" t="s">
        <v>79</v>
      </c>
      <c r="L1039">
        <v>0.3</v>
      </c>
      <c r="M1039">
        <f t="shared" si="37"/>
        <v>7.0685834705770348E-2</v>
      </c>
    </row>
    <row r="1040" spans="1:15" x14ac:dyDescent="0.45">
      <c r="A1040">
        <v>46</v>
      </c>
      <c r="B1040" t="s">
        <v>89</v>
      </c>
      <c r="C1040" t="str">
        <f t="shared" si="36"/>
        <v>AG46</v>
      </c>
      <c r="E1040" s="19">
        <v>45820</v>
      </c>
      <c r="H1040" t="s">
        <v>75</v>
      </c>
      <c r="I1040" t="s">
        <v>76</v>
      </c>
      <c r="M1040" t="str">
        <f t="shared" si="37"/>
        <v/>
      </c>
      <c r="O1040">
        <v>3</v>
      </c>
    </row>
    <row r="1041" spans="1:15" x14ac:dyDescent="0.45">
      <c r="A1041">
        <v>46</v>
      </c>
      <c r="B1041" t="s">
        <v>89</v>
      </c>
      <c r="C1041" t="str">
        <f t="shared" si="36"/>
        <v>AG46</v>
      </c>
      <c r="E1041" s="19">
        <v>45820</v>
      </c>
      <c r="H1041" t="s">
        <v>75</v>
      </c>
      <c r="I1041" t="s">
        <v>78</v>
      </c>
      <c r="K1041" t="s">
        <v>77</v>
      </c>
      <c r="L1041">
        <v>1.2</v>
      </c>
      <c r="M1041">
        <f t="shared" si="37"/>
        <v>0.7539822368615503</v>
      </c>
      <c r="O1041">
        <v>3</v>
      </c>
    </row>
    <row r="1042" spans="1:15" x14ac:dyDescent="0.45">
      <c r="A1042">
        <v>46</v>
      </c>
      <c r="B1042" t="s">
        <v>89</v>
      </c>
      <c r="C1042" t="str">
        <f t="shared" si="36"/>
        <v>AG46</v>
      </c>
      <c r="E1042" s="19">
        <v>45820</v>
      </c>
      <c r="H1042" t="s">
        <v>75</v>
      </c>
      <c r="I1042" t="s">
        <v>78</v>
      </c>
      <c r="K1042" t="s">
        <v>79</v>
      </c>
      <c r="L1042">
        <v>0.4</v>
      </c>
      <c r="M1042">
        <f t="shared" si="37"/>
        <v>0.12566370614359174</v>
      </c>
    </row>
    <row r="1043" spans="1:15" x14ac:dyDescent="0.45">
      <c r="A1043">
        <v>46</v>
      </c>
      <c r="B1043" t="s">
        <v>89</v>
      </c>
      <c r="C1043" t="str">
        <f t="shared" si="36"/>
        <v>AG46</v>
      </c>
      <c r="E1043" s="19">
        <v>45820</v>
      </c>
      <c r="H1043" t="s">
        <v>75</v>
      </c>
      <c r="I1043" t="s">
        <v>80</v>
      </c>
      <c r="K1043" t="s">
        <v>79</v>
      </c>
      <c r="L1043">
        <v>0.4</v>
      </c>
      <c r="M1043">
        <f t="shared" si="37"/>
        <v>0.12566370614359174</v>
      </c>
    </row>
    <row r="1044" spans="1:15" x14ac:dyDescent="0.45">
      <c r="A1044">
        <v>46</v>
      </c>
      <c r="B1044" t="s">
        <v>89</v>
      </c>
      <c r="C1044" t="str">
        <f t="shared" si="36"/>
        <v>AG46</v>
      </c>
      <c r="E1044" s="19">
        <v>45820</v>
      </c>
      <c r="H1044" t="s">
        <v>81</v>
      </c>
      <c r="I1044" t="s">
        <v>76</v>
      </c>
      <c r="M1044" t="str">
        <f t="shared" si="37"/>
        <v/>
      </c>
    </row>
    <row r="1045" spans="1:15" x14ac:dyDescent="0.45">
      <c r="A1045">
        <v>46</v>
      </c>
      <c r="B1045" t="s">
        <v>89</v>
      </c>
      <c r="C1045" t="str">
        <f t="shared" si="36"/>
        <v>AG46</v>
      </c>
      <c r="E1045" s="19">
        <v>45820</v>
      </c>
      <c r="H1045" t="s">
        <v>81</v>
      </c>
      <c r="I1045" t="s">
        <v>78</v>
      </c>
      <c r="K1045" t="s">
        <v>77</v>
      </c>
      <c r="L1045">
        <v>0.8</v>
      </c>
      <c r="M1045">
        <f t="shared" si="37"/>
        <v>0.33510321638291124</v>
      </c>
      <c r="O1045">
        <v>6</v>
      </c>
    </row>
    <row r="1046" spans="1:15" x14ac:dyDescent="0.45">
      <c r="A1046">
        <v>46</v>
      </c>
      <c r="B1046" t="s">
        <v>89</v>
      </c>
      <c r="C1046" t="str">
        <f t="shared" si="36"/>
        <v>AG46</v>
      </c>
      <c r="E1046" s="19">
        <v>45820</v>
      </c>
      <c r="H1046" t="s">
        <v>81</v>
      </c>
      <c r="I1046" t="s">
        <v>78</v>
      </c>
      <c r="K1046" t="s">
        <v>77</v>
      </c>
      <c r="L1046">
        <v>0.5</v>
      </c>
      <c r="M1046">
        <f t="shared" si="37"/>
        <v>0.1308996938995747</v>
      </c>
    </row>
    <row r="1047" spans="1:15" x14ac:dyDescent="0.45">
      <c r="A1047">
        <v>46</v>
      </c>
      <c r="B1047" t="s">
        <v>89</v>
      </c>
      <c r="C1047" t="str">
        <f t="shared" si="36"/>
        <v>AG46</v>
      </c>
      <c r="E1047" s="19">
        <v>45820</v>
      </c>
      <c r="H1047" t="s">
        <v>81</v>
      </c>
      <c r="I1047" t="s">
        <v>78</v>
      </c>
      <c r="K1047" t="s">
        <v>79</v>
      </c>
      <c r="L1047">
        <v>1</v>
      </c>
      <c r="M1047">
        <f t="shared" si="37"/>
        <v>0.78539816339744828</v>
      </c>
    </row>
    <row r="1048" spans="1:15" x14ac:dyDescent="0.45">
      <c r="A1048">
        <v>46</v>
      </c>
      <c r="B1048" t="s">
        <v>89</v>
      </c>
      <c r="C1048" t="str">
        <f t="shared" si="36"/>
        <v>AG46</v>
      </c>
      <c r="E1048" s="19">
        <v>45820</v>
      </c>
      <c r="H1048" t="s">
        <v>81</v>
      </c>
      <c r="I1048" t="s">
        <v>78</v>
      </c>
      <c r="K1048" t="s">
        <v>79</v>
      </c>
      <c r="L1048">
        <v>2</v>
      </c>
      <c r="M1048">
        <f t="shared" si="37"/>
        <v>3.1415926535897931</v>
      </c>
    </row>
    <row r="1049" spans="1:15" x14ac:dyDescent="0.45">
      <c r="A1049">
        <v>46</v>
      </c>
      <c r="B1049" t="s">
        <v>89</v>
      </c>
      <c r="C1049" t="str">
        <f t="shared" si="36"/>
        <v>AG46</v>
      </c>
      <c r="E1049" s="19">
        <v>45820</v>
      </c>
      <c r="H1049" t="s">
        <v>81</v>
      </c>
      <c r="I1049" t="s">
        <v>80</v>
      </c>
      <c r="K1049" t="s">
        <v>77</v>
      </c>
      <c r="L1049">
        <v>0.8</v>
      </c>
      <c r="M1049">
        <f t="shared" si="37"/>
        <v>0.33510321638291124</v>
      </c>
      <c r="O1049">
        <v>3</v>
      </c>
    </row>
    <row r="1050" spans="1:15" x14ac:dyDescent="0.45">
      <c r="A1050">
        <v>47</v>
      </c>
      <c r="B1050" t="s">
        <v>89</v>
      </c>
      <c r="C1050" t="str">
        <f t="shared" si="36"/>
        <v>AG47</v>
      </c>
      <c r="E1050" s="19">
        <v>45820</v>
      </c>
      <c r="H1050" t="s">
        <v>75</v>
      </c>
      <c r="I1050" t="s">
        <v>76</v>
      </c>
      <c r="M1050" t="str">
        <f t="shared" si="37"/>
        <v/>
      </c>
      <c r="O1050">
        <v>3</v>
      </c>
    </row>
    <row r="1051" spans="1:15" x14ac:dyDescent="0.45">
      <c r="A1051">
        <v>47</v>
      </c>
      <c r="B1051" t="s">
        <v>89</v>
      </c>
      <c r="C1051" t="str">
        <f t="shared" si="36"/>
        <v>AG47</v>
      </c>
      <c r="E1051" s="19">
        <v>45820</v>
      </c>
      <c r="H1051" t="s">
        <v>75</v>
      </c>
      <c r="I1051" t="s">
        <v>78</v>
      </c>
      <c r="K1051" t="s">
        <v>79</v>
      </c>
      <c r="L1051">
        <v>2</v>
      </c>
      <c r="M1051">
        <f t="shared" si="37"/>
        <v>3.1415926535897931</v>
      </c>
      <c r="O1051">
        <v>6</v>
      </c>
    </row>
    <row r="1052" spans="1:15" x14ac:dyDescent="0.45">
      <c r="A1052">
        <v>47</v>
      </c>
      <c r="B1052" t="s">
        <v>89</v>
      </c>
      <c r="C1052" t="str">
        <f t="shared" si="36"/>
        <v>AG47</v>
      </c>
      <c r="E1052" s="19">
        <v>45820</v>
      </c>
      <c r="H1052" t="s">
        <v>75</v>
      </c>
      <c r="I1052" t="s">
        <v>80</v>
      </c>
      <c r="M1052" t="str">
        <f t="shared" si="37"/>
        <v/>
      </c>
      <c r="O1052">
        <v>4</v>
      </c>
    </row>
    <row r="1053" spans="1:15" x14ac:dyDescent="0.45">
      <c r="A1053">
        <v>47</v>
      </c>
      <c r="B1053" t="s">
        <v>89</v>
      </c>
      <c r="C1053" t="str">
        <f t="shared" si="36"/>
        <v>AG47</v>
      </c>
      <c r="E1053" s="19">
        <v>45820</v>
      </c>
      <c r="H1053" t="s">
        <v>81</v>
      </c>
      <c r="I1053" t="s">
        <v>76</v>
      </c>
      <c r="M1053" t="str">
        <f t="shared" si="37"/>
        <v/>
      </c>
      <c r="O1053">
        <v>3</v>
      </c>
    </row>
    <row r="1054" spans="1:15" x14ac:dyDescent="0.45">
      <c r="A1054">
        <v>47</v>
      </c>
      <c r="B1054" t="s">
        <v>89</v>
      </c>
      <c r="C1054" t="str">
        <f t="shared" si="36"/>
        <v>AG47</v>
      </c>
      <c r="E1054" s="19">
        <v>45820</v>
      </c>
      <c r="H1054" t="s">
        <v>81</v>
      </c>
      <c r="I1054" t="s">
        <v>78</v>
      </c>
      <c r="K1054" t="s">
        <v>79</v>
      </c>
      <c r="L1054">
        <v>2</v>
      </c>
      <c r="M1054">
        <f t="shared" si="37"/>
        <v>3.1415926535897931</v>
      </c>
      <c r="O1054">
        <v>6</v>
      </c>
    </row>
    <row r="1055" spans="1:15" x14ac:dyDescent="0.45">
      <c r="A1055">
        <v>47</v>
      </c>
      <c r="B1055" t="s">
        <v>89</v>
      </c>
      <c r="C1055" t="str">
        <f t="shared" si="36"/>
        <v>AG47</v>
      </c>
      <c r="E1055" s="19">
        <v>45820</v>
      </c>
      <c r="H1055" t="s">
        <v>81</v>
      </c>
      <c r="I1055" t="s">
        <v>80</v>
      </c>
      <c r="M1055" t="str">
        <f t="shared" si="37"/>
        <v/>
      </c>
      <c r="O1055">
        <v>4</v>
      </c>
    </row>
    <row r="1056" spans="1:15" x14ac:dyDescent="0.45">
      <c r="A1056">
        <v>48</v>
      </c>
      <c r="B1056" t="s">
        <v>89</v>
      </c>
      <c r="C1056" t="str">
        <f t="shared" si="36"/>
        <v>AG48</v>
      </c>
      <c r="E1056" s="19">
        <v>45820</v>
      </c>
      <c r="H1056" t="s">
        <v>75</v>
      </c>
      <c r="I1056" t="s">
        <v>76</v>
      </c>
      <c r="M1056" t="str">
        <f t="shared" si="37"/>
        <v/>
      </c>
    </row>
    <row r="1057" spans="1:15" x14ac:dyDescent="0.45">
      <c r="A1057">
        <v>48</v>
      </c>
      <c r="B1057" t="s">
        <v>89</v>
      </c>
      <c r="C1057" t="str">
        <f t="shared" si="36"/>
        <v>AG48</v>
      </c>
      <c r="E1057" s="19">
        <v>45820</v>
      </c>
      <c r="H1057" t="s">
        <v>75</v>
      </c>
      <c r="I1057" t="s">
        <v>78</v>
      </c>
      <c r="M1057" t="str">
        <f t="shared" si="37"/>
        <v/>
      </c>
      <c r="N1057">
        <v>2</v>
      </c>
      <c r="O1057">
        <v>3</v>
      </c>
    </row>
    <row r="1058" spans="1:15" x14ac:dyDescent="0.45">
      <c r="A1058">
        <v>48</v>
      </c>
      <c r="B1058" t="s">
        <v>89</v>
      </c>
      <c r="C1058" t="str">
        <f t="shared" si="36"/>
        <v>AG48</v>
      </c>
      <c r="E1058" s="19">
        <v>45820</v>
      </c>
      <c r="H1058" t="s">
        <v>75</v>
      </c>
      <c r="I1058" t="s">
        <v>80</v>
      </c>
      <c r="K1058" t="s">
        <v>79</v>
      </c>
      <c r="L1058">
        <v>0.4</v>
      </c>
      <c r="M1058">
        <f t="shared" si="37"/>
        <v>0.12566370614359174</v>
      </c>
      <c r="N1058">
        <v>1</v>
      </c>
    </row>
    <row r="1059" spans="1:15" x14ac:dyDescent="0.45">
      <c r="A1059">
        <v>48</v>
      </c>
      <c r="B1059" t="s">
        <v>89</v>
      </c>
      <c r="C1059" t="str">
        <f t="shared" si="36"/>
        <v>AG48</v>
      </c>
      <c r="E1059" s="19">
        <v>45820</v>
      </c>
      <c r="H1059" t="s">
        <v>75</v>
      </c>
      <c r="I1059" t="s">
        <v>80</v>
      </c>
      <c r="K1059" t="s">
        <v>79</v>
      </c>
      <c r="L1059">
        <v>0.2</v>
      </c>
      <c r="M1059">
        <f t="shared" si="37"/>
        <v>3.1415926535897934E-2</v>
      </c>
    </row>
    <row r="1060" spans="1:15" x14ac:dyDescent="0.45">
      <c r="A1060">
        <v>48</v>
      </c>
      <c r="B1060" t="s">
        <v>89</v>
      </c>
      <c r="C1060" t="str">
        <f t="shared" si="36"/>
        <v>AG48</v>
      </c>
      <c r="E1060" s="19">
        <v>45820</v>
      </c>
      <c r="H1060" t="s">
        <v>75</v>
      </c>
      <c r="I1060" t="s">
        <v>80</v>
      </c>
      <c r="K1060" t="s">
        <v>79</v>
      </c>
      <c r="L1060">
        <v>0.2</v>
      </c>
      <c r="M1060">
        <f t="shared" si="37"/>
        <v>3.1415926535897934E-2</v>
      </c>
    </row>
    <row r="1061" spans="1:15" x14ac:dyDescent="0.45">
      <c r="A1061">
        <v>48</v>
      </c>
      <c r="B1061" t="s">
        <v>89</v>
      </c>
      <c r="C1061" t="str">
        <f t="shared" si="36"/>
        <v>AG48</v>
      </c>
      <c r="E1061" s="19">
        <v>45820</v>
      </c>
      <c r="H1061" t="s">
        <v>81</v>
      </c>
      <c r="I1061" t="s">
        <v>76</v>
      </c>
      <c r="M1061" t="str">
        <f t="shared" si="37"/>
        <v/>
      </c>
      <c r="O1061">
        <v>2</v>
      </c>
    </row>
    <row r="1062" spans="1:15" x14ac:dyDescent="0.45">
      <c r="A1062">
        <v>48</v>
      </c>
      <c r="B1062" t="s">
        <v>89</v>
      </c>
      <c r="C1062" t="str">
        <f t="shared" si="36"/>
        <v>AG48</v>
      </c>
      <c r="E1062" s="19">
        <v>45820</v>
      </c>
      <c r="H1062" t="s">
        <v>81</v>
      </c>
      <c r="I1062" t="s">
        <v>78</v>
      </c>
      <c r="K1062" t="s">
        <v>77</v>
      </c>
      <c r="L1062">
        <v>1.2</v>
      </c>
      <c r="M1062">
        <f t="shared" si="37"/>
        <v>0.7539822368615503</v>
      </c>
    </row>
    <row r="1063" spans="1:15" x14ac:dyDescent="0.45">
      <c r="A1063">
        <v>48</v>
      </c>
      <c r="B1063" t="s">
        <v>89</v>
      </c>
      <c r="C1063" t="str">
        <f t="shared" si="36"/>
        <v>AG48</v>
      </c>
      <c r="E1063" s="19">
        <v>45820</v>
      </c>
      <c r="H1063" t="s">
        <v>81</v>
      </c>
      <c r="I1063" t="s">
        <v>78</v>
      </c>
      <c r="K1063" t="s">
        <v>77</v>
      </c>
      <c r="L1063">
        <v>1.2</v>
      </c>
      <c r="M1063">
        <f t="shared" si="37"/>
        <v>0.7539822368615503</v>
      </c>
    </row>
    <row r="1064" spans="1:15" x14ac:dyDescent="0.45">
      <c r="A1064">
        <v>48</v>
      </c>
      <c r="B1064" t="s">
        <v>89</v>
      </c>
      <c r="C1064" t="str">
        <f t="shared" si="36"/>
        <v>AG48</v>
      </c>
      <c r="E1064" s="19">
        <v>45820</v>
      </c>
      <c r="H1064" t="s">
        <v>81</v>
      </c>
      <c r="I1064" t="s">
        <v>78</v>
      </c>
      <c r="K1064" t="s">
        <v>77</v>
      </c>
      <c r="L1064">
        <v>1</v>
      </c>
      <c r="M1064">
        <f t="shared" si="37"/>
        <v>0.52359877559829882</v>
      </c>
    </row>
    <row r="1065" spans="1:15" x14ac:dyDescent="0.45">
      <c r="A1065">
        <v>48</v>
      </c>
      <c r="B1065" t="s">
        <v>89</v>
      </c>
      <c r="C1065" t="str">
        <f t="shared" si="36"/>
        <v>AG48</v>
      </c>
      <c r="E1065" s="19">
        <v>45820</v>
      </c>
      <c r="H1065" t="s">
        <v>81</v>
      </c>
      <c r="I1065" t="s">
        <v>78</v>
      </c>
      <c r="K1065" t="s">
        <v>79</v>
      </c>
      <c r="L1065">
        <v>0.3</v>
      </c>
      <c r="M1065">
        <f t="shared" si="37"/>
        <v>7.0685834705770348E-2</v>
      </c>
    </row>
    <row r="1066" spans="1:15" x14ac:dyDescent="0.45">
      <c r="A1066">
        <v>48</v>
      </c>
      <c r="B1066" t="s">
        <v>89</v>
      </c>
      <c r="C1066" t="str">
        <f t="shared" si="36"/>
        <v>AG48</v>
      </c>
      <c r="E1066" s="19">
        <v>45820</v>
      </c>
      <c r="H1066" t="s">
        <v>81</v>
      </c>
      <c r="I1066" t="s">
        <v>78</v>
      </c>
      <c r="K1066" t="s">
        <v>79</v>
      </c>
      <c r="L1066">
        <v>0.2</v>
      </c>
      <c r="M1066">
        <f t="shared" si="37"/>
        <v>3.1415926535897934E-2</v>
      </c>
    </row>
    <row r="1067" spans="1:15" x14ac:dyDescent="0.45">
      <c r="A1067">
        <v>48</v>
      </c>
      <c r="B1067" t="s">
        <v>89</v>
      </c>
      <c r="C1067" t="str">
        <f t="shared" si="36"/>
        <v>AG48</v>
      </c>
      <c r="E1067" s="19">
        <v>45820</v>
      </c>
      <c r="H1067" t="s">
        <v>81</v>
      </c>
      <c r="I1067" t="s">
        <v>78</v>
      </c>
      <c r="K1067" t="s">
        <v>79</v>
      </c>
      <c r="L1067">
        <v>0.1</v>
      </c>
      <c r="M1067">
        <f t="shared" si="37"/>
        <v>7.8539816339744835E-3</v>
      </c>
    </row>
    <row r="1068" spans="1:15" x14ac:dyDescent="0.45">
      <c r="A1068">
        <v>48</v>
      </c>
      <c r="B1068" t="s">
        <v>89</v>
      </c>
      <c r="C1068" t="str">
        <f t="shared" si="36"/>
        <v>AG48</v>
      </c>
      <c r="E1068" s="19">
        <v>45820</v>
      </c>
      <c r="H1068" t="s">
        <v>81</v>
      </c>
      <c r="I1068" t="s">
        <v>78</v>
      </c>
      <c r="K1068" t="s">
        <v>79</v>
      </c>
      <c r="L1068">
        <v>0.4</v>
      </c>
      <c r="M1068">
        <f t="shared" si="37"/>
        <v>0.12566370614359174</v>
      </c>
    </row>
    <row r="1069" spans="1:15" x14ac:dyDescent="0.45">
      <c r="A1069">
        <v>48</v>
      </c>
      <c r="B1069" t="s">
        <v>89</v>
      </c>
      <c r="C1069" t="str">
        <f t="shared" si="36"/>
        <v>AG48</v>
      </c>
      <c r="E1069" s="19">
        <v>45820</v>
      </c>
      <c r="H1069" t="s">
        <v>81</v>
      </c>
      <c r="I1069" t="s">
        <v>78</v>
      </c>
      <c r="K1069" t="s">
        <v>77</v>
      </c>
      <c r="L1069">
        <v>0.5</v>
      </c>
      <c r="M1069">
        <f t="shared" si="37"/>
        <v>0.1308996938995747</v>
      </c>
    </row>
    <row r="1070" spans="1:15" x14ac:dyDescent="0.45">
      <c r="A1070">
        <v>48</v>
      </c>
      <c r="B1070" t="s">
        <v>89</v>
      </c>
      <c r="C1070" t="str">
        <f t="shared" si="36"/>
        <v>AG48</v>
      </c>
      <c r="E1070" s="19">
        <v>45820</v>
      </c>
      <c r="H1070" t="s">
        <v>81</v>
      </c>
      <c r="I1070" t="s">
        <v>80</v>
      </c>
      <c r="K1070" t="s">
        <v>77</v>
      </c>
      <c r="L1070">
        <v>1.1000000000000001</v>
      </c>
      <c r="M1070">
        <f t="shared" si="37"/>
        <v>0.63355451847394173</v>
      </c>
    </row>
    <row r="1071" spans="1:15" x14ac:dyDescent="0.45">
      <c r="A1071">
        <v>48</v>
      </c>
      <c r="B1071" t="s">
        <v>89</v>
      </c>
      <c r="C1071" t="str">
        <f t="shared" si="36"/>
        <v>AG48</v>
      </c>
      <c r="E1071" s="19">
        <v>45820</v>
      </c>
      <c r="H1071" t="s">
        <v>81</v>
      </c>
      <c r="I1071" t="s">
        <v>80</v>
      </c>
      <c r="K1071" t="s">
        <v>79</v>
      </c>
      <c r="L1071">
        <v>0.3</v>
      </c>
      <c r="M1071">
        <f t="shared" si="37"/>
        <v>7.0685834705770348E-2</v>
      </c>
    </row>
    <row r="1072" spans="1:15" x14ac:dyDescent="0.45">
      <c r="A1072">
        <v>48</v>
      </c>
      <c r="B1072" t="s">
        <v>89</v>
      </c>
      <c r="C1072" t="str">
        <f t="shared" si="36"/>
        <v>AG48</v>
      </c>
      <c r="E1072" s="19">
        <v>45820</v>
      </c>
      <c r="H1072" t="s">
        <v>81</v>
      </c>
      <c r="I1072" t="s">
        <v>80</v>
      </c>
      <c r="K1072" t="s">
        <v>79</v>
      </c>
      <c r="L1072">
        <v>0.3</v>
      </c>
      <c r="M1072">
        <f t="shared" si="37"/>
        <v>7.0685834705770348E-2</v>
      </c>
    </row>
    <row r="1073" spans="1:15" x14ac:dyDescent="0.45">
      <c r="A1073" t="s">
        <v>114</v>
      </c>
      <c r="C1073" t="s">
        <v>115</v>
      </c>
      <c r="E1073" s="19">
        <v>45820</v>
      </c>
      <c r="H1073" t="s">
        <v>75</v>
      </c>
      <c r="I1073" t="s">
        <v>76</v>
      </c>
      <c r="K1073" t="s">
        <v>79</v>
      </c>
      <c r="L1073">
        <v>1</v>
      </c>
      <c r="M1073">
        <f t="shared" si="37"/>
        <v>0.78539816339744828</v>
      </c>
      <c r="O1073">
        <v>1</v>
      </c>
    </row>
    <row r="1074" spans="1:15" x14ac:dyDescent="0.45">
      <c r="A1074" t="s">
        <v>114</v>
      </c>
      <c r="C1074" t="s">
        <v>115</v>
      </c>
      <c r="E1074" s="19">
        <v>45820</v>
      </c>
      <c r="H1074" t="s">
        <v>75</v>
      </c>
      <c r="I1074" t="s">
        <v>76</v>
      </c>
      <c r="K1074" t="s">
        <v>79</v>
      </c>
      <c r="L1074">
        <v>0.5</v>
      </c>
      <c r="M1074">
        <f t="shared" si="37"/>
        <v>0.19634954084936207</v>
      </c>
    </row>
    <row r="1075" spans="1:15" x14ac:dyDescent="0.45">
      <c r="A1075" t="s">
        <v>114</v>
      </c>
      <c r="C1075" t="s">
        <v>115</v>
      </c>
      <c r="E1075" s="19">
        <v>45820</v>
      </c>
      <c r="H1075" t="s">
        <v>75</v>
      </c>
      <c r="I1075" t="s">
        <v>76</v>
      </c>
      <c r="K1075" t="s">
        <v>77</v>
      </c>
      <c r="L1075">
        <v>1.3</v>
      </c>
      <c r="M1075">
        <f t="shared" si="37"/>
        <v>0.88488193076112509</v>
      </c>
    </row>
    <row r="1076" spans="1:15" x14ac:dyDescent="0.45">
      <c r="A1076" t="s">
        <v>114</v>
      </c>
      <c r="C1076" t="s">
        <v>115</v>
      </c>
      <c r="E1076" s="19">
        <v>45820</v>
      </c>
      <c r="H1076" t="s">
        <v>75</v>
      </c>
      <c r="I1076" t="s">
        <v>76</v>
      </c>
      <c r="K1076" t="s">
        <v>79</v>
      </c>
      <c r="L1076">
        <v>0.9</v>
      </c>
      <c r="M1076">
        <f t="shared" si="37"/>
        <v>0.63617251235193317</v>
      </c>
    </row>
    <row r="1077" spans="1:15" x14ac:dyDescent="0.45">
      <c r="A1077" t="s">
        <v>114</v>
      </c>
      <c r="C1077" t="s">
        <v>115</v>
      </c>
      <c r="E1077" s="19">
        <v>45820</v>
      </c>
      <c r="H1077" t="s">
        <v>75</v>
      </c>
      <c r="I1077" t="s">
        <v>78</v>
      </c>
      <c r="K1077" t="s">
        <v>77</v>
      </c>
      <c r="L1077">
        <v>1</v>
      </c>
      <c r="M1077">
        <f t="shared" si="37"/>
        <v>0.52359877559829882</v>
      </c>
      <c r="N1077">
        <v>4</v>
      </c>
      <c r="O1077">
        <v>5</v>
      </c>
    </row>
    <row r="1078" spans="1:15" x14ac:dyDescent="0.45">
      <c r="A1078" t="s">
        <v>114</v>
      </c>
      <c r="C1078" t="s">
        <v>115</v>
      </c>
      <c r="E1078" s="19">
        <v>45820</v>
      </c>
      <c r="H1078" t="s">
        <v>75</v>
      </c>
      <c r="I1078" t="s">
        <v>78</v>
      </c>
      <c r="K1078" t="s">
        <v>77</v>
      </c>
      <c r="L1078">
        <v>0.9</v>
      </c>
      <c r="M1078">
        <f t="shared" si="37"/>
        <v>0.42411500823462206</v>
      </c>
    </row>
    <row r="1079" spans="1:15" x14ac:dyDescent="0.45">
      <c r="A1079" t="s">
        <v>114</v>
      </c>
      <c r="C1079" t="s">
        <v>115</v>
      </c>
      <c r="E1079" s="19">
        <v>45820</v>
      </c>
      <c r="H1079" t="s">
        <v>75</v>
      </c>
      <c r="I1079" t="s">
        <v>78</v>
      </c>
      <c r="K1079" t="s">
        <v>79</v>
      </c>
      <c r="L1079">
        <v>1.5</v>
      </c>
      <c r="M1079">
        <f t="shared" si="37"/>
        <v>1.7671458676442586</v>
      </c>
    </row>
    <row r="1080" spans="1:15" x14ac:dyDescent="0.45">
      <c r="A1080" t="s">
        <v>114</v>
      </c>
      <c r="C1080" t="s">
        <v>115</v>
      </c>
      <c r="E1080" s="19">
        <v>45820</v>
      </c>
      <c r="H1080" t="s">
        <v>75</v>
      </c>
      <c r="I1080" t="s">
        <v>78</v>
      </c>
      <c r="K1080" t="s">
        <v>79</v>
      </c>
      <c r="L1080">
        <v>0.6</v>
      </c>
      <c r="M1080">
        <f t="shared" si="37"/>
        <v>0.28274333882308139</v>
      </c>
    </row>
    <row r="1081" spans="1:15" x14ac:dyDescent="0.45">
      <c r="A1081" t="s">
        <v>114</v>
      </c>
      <c r="C1081" t="s">
        <v>115</v>
      </c>
      <c r="E1081" s="19">
        <v>45820</v>
      </c>
      <c r="H1081" t="s">
        <v>75</v>
      </c>
      <c r="I1081" t="s">
        <v>78</v>
      </c>
      <c r="K1081" t="s">
        <v>79</v>
      </c>
      <c r="L1081">
        <v>0.6</v>
      </c>
      <c r="M1081">
        <f t="shared" si="37"/>
        <v>0.28274333882308139</v>
      </c>
    </row>
    <row r="1082" spans="1:15" x14ac:dyDescent="0.45">
      <c r="A1082" t="s">
        <v>114</v>
      </c>
      <c r="C1082" t="s">
        <v>115</v>
      </c>
      <c r="E1082" s="19">
        <v>45820</v>
      </c>
      <c r="H1082" t="s">
        <v>75</v>
      </c>
      <c r="I1082" t="s">
        <v>78</v>
      </c>
      <c r="K1082" t="s">
        <v>79</v>
      </c>
      <c r="L1082">
        <v>0.2</v>
      </c>
      <c r="M1082">
        <f t="shared" si="37"/>
        <v>3.1415926535897934E-2</v>
      </c>
    </row>
    <row r="1083" spans="1:15" x14ac:dyDescent="0.45">
      <c r="A1083" t="s">
        <v>114</v>
      </c>
      <c r="C1083" t="s">
        <v>115</v>
      </c>
      <c r="E1083" s="19">
        <v>45820</v>
      </c>
      <c r="H1083" t="s">
        <v>75</v>
      </c>
      <c r="I1083" t="s">
        <v>80</v>
      </c>
      <c r="K1083" t="s">
        <v>77</v>
      </c>
      <c r="L1083">
        <v>1.5</v>
      </c>
      <c r="M1083">
        <f t="shared" si="37"/>
        <v>1.1780972450961724</v>
      </c>
      <c r="O1083">
        <v>1</v>
      </c>
    </row>
    <row r="1084" spans="1:15" x14ac:dyDescent="0.45">
      <c r="A1084" t="s">
        <v>114</v>
      </c>
      <c r="C1084" t="s">
        <v>115</v>
      </c>
      <c r="E1084" s="19">
        <v>45820</v>
      </c>
      <c r="H1084" t="s">
        <v>75</v>
      </c>
      <c r="I1084" t="s">
        <v>80</v>
      </c>
      <c r="K1084" t="s">
        <v>79</v>
      </c>
      <c r="L1084">
        <v>1</v>
      </c>
      <c r="M1084">
        <f t="shared" si="37"/>
        <v>0.78539816339744828</v>
      </c>
    </row>
    <row r="1085" spans="1:15" x14ac:dyDescent="0.45">
      <c r="A1085" t="s">
        <v>114</v>
      </c>
      <c r="C1085" t="s">
        <v>115</v>
      </c>
      <c r="E1085" s="19">
        <v>45820</v>
      </c>
      <c r="H1085" t="s">
        <v>75</v>
      </c>
      <c r="I1085" t="s">
        <v>80</v>
      </c>
      <c r="K1085" t="s">
        <v>79</v>
      </c>
      <c r="L1085">
        <v>0.8</v>
      </c>
      <c r="M1085">
        <f t="shared" si="37"/>
        <v>0.50265482457436694</v>
      </c>
    </row>
    <row r="1086" spans="1:15" x14ac:dyDescent="0.45">
      <c r="A1086" t="s">
        <v>114</v>
      </c>
      <c r="C1086" t="s">
        <v>115</v>
      </c>
      <c r="E1086" s="19">
        <v>45820</v>
      </c>
      <c r="H1086" t="s">
        <v>75</v>
      </c>
      <c r="I1086" t="s">
        <v>80</v>
      </c>
      <c r="K1086" t="s">
        <v>77</v>
      </c>
      <c r="L1086">
        <v>1.9</v>
      </c>
      <c r="M1086">
        <f t="shared" si="37"/>
        <v>1.8901915799098588</v>
      </c>
    </row>
    <row r="1087" spans="1:15" x14ac:dyDescent="0.45">
      <c r="A1087" t="s">
        <v>114</v>
      </c>
      <c r="C1087" t="s">
        <v>115</v>
      </c>
      <c r="E1087" s="19">
        <v>45820</v>
      </c>
      <c r="H1087" t="s">
        <v>75</v>
      </c>
      <c r="I1087" t="s">
        <v>80</v>
      </c>
      <c r="K1087" t="s">
        <v>77</v>
      </c>
      <c r="L1087">
        <v>1.2</v>
      </c>
      <c r="M1087">
        <f t="shared" si="37"/>
        <v>0.7539822368615503</v>
      </c>
    </row>
    <row r="1088" spans="1:15" x14ac:dyDescent="0.45">
      <c r="A1088" t="s">
        <v>114</v>
      </c>
      <c r="C1088" t="s">
        <v>115</v>
      </c>
      <c r="E1088" s="19">
        <v>45820</v>
      </c>
      <c r="H1088" t="s">
        <v>81</v>
      </c>
      <c r="I1088" t="s">
        <v>76</v>
      </c>
      <c r="M1088" t="str">
        <f t="shared" si="37"/>
        <v/>
      </c>
    </row>
    <row r="1089" spans="1:15" x14ac:dyDescent="0.45">
      <c r="A1089" t="s">
        <v>114</v>
      </c>
      <c r="C1089" t="s">
        <v>115</v>
      </c>
      <c r="E1089" s="19">
        <v>45820</v>
      </c>
      <c r="H1089" t="s">
        <v>81</v>
      </c>
      <c r="I1089" t="s">
        <v>78</v>
      </c>
      <c r="K1089" t="s">
        <v>79</v>
      </c>
      <c r="L1089">
        <v>0.3</v>
      </c>
      <c r="M1089">
        <f t="shared" si="37"/>
        <v>7.0685834705770348E-2</v>
      </c>
      <c r="N1089">
        <v>2</v>
      </c>
      <c r="O1089">
        <v>3</v>
      </c>
    </row>
    <row r="1090" spans="1:15" x14ac:dyDescent="0.45">
      <c r="A1090" t="s">
        <v>114</v>
      </c>
      <c r="C1090" t="s">
        <v>115</v>
      </c>
      <c r="E1090" s="19">
        <v>45820</v>
      </c>
      <c r="H1090" t="s">
        <v>81</v>
      </c>
      <c r="I1090" t="s">
        <v>78</v>
      </c>
      <c r="K1090" t="s">
        <v>79</v>
      </c>
      <c r="L1090">
        <v>0.2</v>
      </c>
      <c r="M1090">
        <f t="shared" si="37"/>
        <v>3.1415926535897934E-2</v>
      </c>
    </row>
    <row r="1091" spans="1:15" x14ac:dyDescent="0.45">
      <c r="A1091" t="s">
        <v>114</v>
      </c>
      <c r="C1091" t="s">
        <v>115</v>
      </c>
      <c r="E1091" s="19">
        <v>45820</v>
      </c>
      <c r="H1091" t="s">
        <v>81</v>
      </c>
      <c r="I1091" t="s">
        <v>80</v>
      </c>
      <c r="K1091" t="s">
        <v>77</v>
      </c>
      <c r="L1091">
        <v>1.4</v>
      </c>
      <c r="M1091">
        <f t="shared" si="37"/>
        <v>1.0262536001726656</v>
      </c>
    </row>
    <row r="1092" spans="1:15" x14ac:dyDescent="0.45">
      <c r="A1092" t="s">
        <v>114</v>
      </c>
      <c r="C1092" t="s">
        <v>115</v>
      </c>
      <c r="E1092" s="19">
        <v>45820</v>
      </c>
      <c r="H1092" t="s">
        <v>81</v>
      </c>
      <c r="I1092" t="s">
        <v>80</v>
      </c>
      <c r="K1092" t="s">
        <v>77</v>
      </c>
      <c r="L1092">
        <v>0.8</v>
      </c>
      <c r="M1092">
        <f t="shared" si="37"/>
        <v>0.33510321638291124</v>
      </c>
      <c r="N1092">
        <v>4</v>
      </c>
    </row>
    <row r="1093" spans="1:15" x14ac:dyDescent="0.45">
      <c r="A1093" t="s">
        <v>97</v>
      </c>
      <c r="C1093" t="s">
        <v>116</v>
      </c>
      <c r="E1093" s="19">
        <v>45820</v>
      </c>
      <c r="H1093" t="s">
        <v>75</v>
      </c>
      <c r="I1093" t="s">
        <v>76</v>
      </c>
      <c r="K1093" t="s">
        <v>77</v>
      </c>
      <c r="L1093">
        <v>0.5</v>
      </c>
      <c r="M1093">
        <f t="shared" si="37"/>
        <v>0.1308996938995747</v>
      </c>
      <c r="O1093">
        <v>1</v>
      </c>
    </row>
    <row r="1094" spans="1:15" x14ac:dyDescent="0.45">
      <c r="A1094" t="s">
        <v>97</v>
      </c>
      <c r="C1094" t="s">
        <v>116</v>
      </c>
      <c r="E1094" s="19">
        <v>45820</v>
      </c>
      <c r="H1094" t="s">
        <v>75</v>
      </c>
      <c r="I1094" t="s">
        <v>78</v>
      </c>
      <c r="K1094" t="s">
        <v>77</v>
      </c>
      <c r="L1094">
        <v>1.2</v>
      </c>
      <c r="M1094">
        <f t="shared" si="37"/>
        <v>0.7539822368615503</v>
      </c>
    </row>
    <row r="1095" spans="1:15" x14ac:dyDescent="0.45">
      <c r="A1095" t="s">
        <v>97</v>
      </c>
      <c r="C1095" t="s">
        <v>116</v>
      </c>
      <c r="E1095" s="19">
        <v>45820</v>
      </c>
      <c r="H1095" t="s">
        <v>75</v>
      </c>
      <c r="I1095" t="s">
        <v>78</v>
      </c>
      <c r="K1095" t="s">
        <v>79</v>
      </c>
      <c r="L1095">
        <v>0.3</v>
      </c>
      <c r="M1095">
        <f t="shared" si="37"/>
        <v>7.0685834705770348E-2</v>
      </c>
    </row>
    <row r="1096" spans="1:15" x14ac:dyDescent="0.45">
      <c r="A1096" t="s">
        <v>97</v>
      </c>
      <c r="C1096" t="s">
        <v>116</v>
      </c>
      <c r="E1096" s="19">
        <v>45820</v>
      </c>
      <c r="H1096" t="s">
        <v>75</v>
      </c>
      <c r="I1096" t="s">
        <v>78</v>
      </c>
      <c r="K1096" t="s">
        <v>79</v>
      </c>
      <c r="L1096">
        <v>0.1</v>
      </c>
      <c r="M1096">
        <f t="shared" si="37"/>
        <v>7.8539816339744835E-3</v>
      </c>
    </row>
    <row r="1097" spans="1:15" x14ac:dyDescent="0.45">
      <c r="A1097" t="s">
        <v>97</v>
      </c>
      <c r="C1097" t="s">
        <v>116</v>
      </c>
      <c r="E1097" s="19">
        <v>45820</v>
      </c>
      <c r="H1097" t="s">
        <v>75</v>
      </c>
      <c r="I1097" t="s">
        <v>78</v>
      </c>
      <c r="K1097" t="s">
        <v>79</v>
      </c>
      <c r="L1097">
        <v>0.3</v>
      </c>
      <c r="M1097">
        <f t="shared" si="37"/>
        <v>7.0685834705770348E-2</v>
      </c>
    </row>
    <row r="1098" spans="1:15" x14ac:dyDescent="0.45">
      <c r="A1098" t="s">
        <v>97</v>
      </c>
      <c r="C1098" t="s">
        <v>116</v>
      </c>
      <c r="E1098" s="19">
        <v>45820</v>
      </c>
      <c r="H1098" t="s">
        <v>75</v>
      </c>
      <c r="I1098" t="s">
        <v>78</v>
      </c>
      <c r="K1098" t="s">
        <v>79</v>
      </c>
      <c r="L1098">
        <v>0.1</v>
      </c>
      <c r="M1098">
        <f t="shared" si="37"/>
        <v>7.8539816339744835E-3</v>
      </c>
    </row>
    <row r="1099" spans="1:15" x14ac:dyDescent="0.45">
      <c r="A1099" t="s">
        <v>97</v>
      </c>
      <c r="C1099" t="s">
        <v>116</v>
      </c>
      <c r="E1099" s="19">
        <v>45820</v>
      </c>
      <c r="H1099" t="s">
        <v>75</v>
      </c>
      <c r="I1099" t="s">
        <v>78</v>
      </c>
      <c r="K1099" t="s">
        <v>77</v>
      </c>
      <c r="L1099">
        <v>0.5</v>
      </c>
      <c r="M1099">
        <f t="shared" si="37"/>
        <v>0.1308996938995747</v>
      </c>
    </row>
    <row r="1100" spans="1:15" x14ac:dyDescent="0.45">
      <c r="A1100" t="s">
        <v>97</v>
      </c>
      <c r="C1100" t="s">
        <v>116</v>
      </c>
      <c r="E1100" s="19">
        <v>45820</v>
      </c>
      <c r="H1100" t="s">
        <v>75</v>
      </c>
      <c r="I1100" t="s">
        <v>80</v>
      </c>
      <c r="K1100" t="s">
        <v>79</v>
      </c>
      <c r="L1100">
        <v>2</v>
      </c>
      <c r="M1100">
        <f t="shared" si="37"/>
        <v>3.1415926535897931</v>
      </c>
    </row>
    <row r="1101" spans="1:15" x14ac:dyDescent="0.45">
      <c r="A1101" t="s">
        <v>97</v>
      </c>
      <c r="C1101" t="s">
        <v>116</v>
      </c>
      <c r="E1101" s="19">
        <v>45820</v>
      </c>
      <c r="H1101" t="s">
        <v>81</v>
      </c>
      <c r="I1101" t="s">
        <v>76</v>
      </c>
      <c r="K1101" t="s">
        <v>79</v>
      </c>
      <c r="L1101">
        <v>1.5</v>
      </c>
      <c r="M1101">
        <f t="shared" ref="M1101:M1164" si="38">IF(OR(L1101="na", L1101=""), "", IF(K1101="mm", PI()*(L1101/2)^2, IF(K1101="ep", PI()*(L1101/2)*(L1101*(2/3)/2), "")))</f>
        <v>1.7671458676442586</v>
      </c>
    </row>
    <row r="1102" spans="1:15" x14ac:dyDescent="0.45">
      <c r="A1102" t="s">
        <v>97</v>
      </c>
      <c r="C1102" t="s">
        <v>116</v>
      </c>
      <c r="E1102" s="19">
        <v>45820</v>
      </c>
      <c r="H1102" t="s">
        <v>81</v>
      </c>
      <c r="I1102" t="s">
        <v>76</v>
      </c>
      <c r="K1102" t="s">
        <v>79</v>
      </c>
      <c r="L1102">
        <v>0.5</v>
      </c>
      <c r="M1102">
        <f t="shared" si="38"/>
        <v>0.19634954084936207</v>
      </c>
    </row>
    <row r="1103" spans="1:15" x14ac:dyDescent="0.45">
      <c r="A1103" t="s">
        <v>97</v>
      </c>
      <c r="C1103" t="s">
        <v>116</v>
      </c>
      <c r="E1103" s="19">
        <v>45820</v>
      </c>
      <c r="H1103" t="s">
        <v>81</v>
      </c>
      <c r="I1103" t="s">
        <v>76</v>
      </c>
      <c r="K1103" t="s">
        <v>77</v>
      </c>
      <c r="L1103">
        <v>1.5</v>
      </c>
      <c r="M1103">
        <f t="shared" si="38"/>
        <v>1.1780972450961724</v>
      </c>
      <c r="O1103">
        <v>3</v>
      </c>
    </row>
    <row r="1104" spans="1:15" x14ac:dyDescent="0.45">
      <c r="A1104" t="s">
        <v>97</v>
      </c>
      <c r="C1104" t="s">
        <v>116</v>
      </c>
      <c r="E1104" s="19">
        <v>45820</v>
      </c>
      <c r="H1104" t="s">
        <v>81</v>
      </c>
      <c r="I1104" t="s">
        <v>78</v>
      </c>
      <c r="M1104" t="str">
        <f t="shared" si="38"/>
        <v/>
      </c>
    </row>
    <row r="1105" spans="1:15" x14ac:dyDescent="0.45">
      <c r="A1105" t="s">
        <v>97</v>
      </c>
      <c r="C1105" t="s">
        <v>116</v>
      </c>
      <c r="E1105" s="19">
        <v>45820</v>
      </c>
      <c r="H1105" t="s">
        <v>81</v>
      </c>
      <c r="I1105" t="s">
        <v>80</v>
      </c>
      <c r="M1105" t="str">
        <f t="shared" si="38"/>
        <v/>
      </c>
      <c r="O1105">
        <v>1</v>
      </c>
    </row>
    <row r="1106" spans="1:15" x14ac:dyDescent="0.45">
      <c r="A1106" t="s">
        <v>97</v>
      </c>
      <c r="C1106" t="s">
        <v>116</v>
      </c>
      <c r="E1106" s="19">
        <v>45820</v>
      </c>
      <c r="H1106" t="s">
        <v>75</v>
      </c>
      <c r="I1106" t="s">
        <v>76</v>
      </c>
      <c r="M1106" t="str">
        <f t="shared" si="38"/>
        <v/>
      </c>
      <c r="O1106">
        <v>2</v>
      </c>
    </row>
    <row r="1107" spans="1:15" x14ac:dyDescent="0.45">
      <c r="A1107" t="s">
        <v>97</v>
      </c>
      <c r="C1107" t="s">
        <v>116</v>
      </c>
      <c r="E1107" s="19">
        <v>45820</v>
      </c>
      <c r="H1107" t="s">
        <v>75</v>
      </c>
      <c r="I1107" t="s">
        <v>78</v>
      </c>
      <c r="K1107" t="s">
        <v>77</v>
      </c>
      <c r="L1107">
        <v>1.4</v>
      </c>
      <c r="M1107">
        <f t="shared" si="38"/>
        <v>1.0262536001726656</v>
      </c>
      <c r="O1107">
        <v>6</v>
      </c>
    </row>
    <row r="1108" spans="1:15" x14ac:dyDescent="0.45">
      <c r="A1108" t="s">
        <v>97</v>
      </c>
      <c r="C1108" t="s">
        <v>116</v>
      </c>
      <c r="E1108" s="19">
        <v>45820</v>
      </c>
      <c r="H1108" t="s">
        <v>75</v>
      </c>
      <c r="I1108" t="s">
        <v>80</v>
      </c>
      <c r="K1108" t="s">
        <v>77</v>
      </c>
      <c r="L1108">
        <v>0.5</v>
      </c>
      <c r="M1108">
        <f t="shared" si="38"/>
        <v>0.1308996938995747</v>
      </c>
      <c r="O1108">
        <v>1</v>
      </c>
    </row>
    <row r="1109" spans="1:15" x14ac:dyDescent="0.45">
      <c r="A1109" t="s">
        <v>97</v>
      </c>
      <c r="C1109" t="s">
        <v>116</v>
      </c>
      <c r="E1109" s="19">
        <v>45820</v>
      </c>
      <c r="H1109" t="s">
        <v>75</v>
      </c>
      <c r="I1109" t="s">
        <v>80</v>
      </c>
      <c r="K1109" t="s">
        <v>77</v>
      </c>
      <c r="L1109">
        <v>0.4</v>
      </c>
      <c r="M1109">
        <f t="shared" si="38"/>
        <v>8.377580409572781E-2</v>
      </c>
    </row>
    <row r="1110" spans="1:15" x14ac:dyDescent="0.45">
      <c r="A1110" t="s">
        <v>97</v>
      </c>
      <c r="C1110" t="s">
        <v>116</v>
      </c>
      <c r="E1110" s="19">
        <v>45820</v>
      </c>
      <c r="H1110" t="s">
        <v>81</v>
      </c>
      <c r="I1110" t="s">
        <v>76</v>
      </c>
      <c r="M1110" t="str">
        <f t="shared" si="38"/>
        <v/>
      </c>
      <c r="O1110">
        <v>6</v>
      </c>
    </row>
    <row r="1111" spans="1:15" x14ac:dyDescent="0.45">
      <c r="A1111" t="s">
        <v>97</v>
      </c>
      <c r="C1111" t="s">
        <v>116</v>
      </c>
      <c r="E1111" s="19">
        <v>45820</v>
      </c>
      <c r="H1111" t="s">
        <v>81</v>
      </c>
      <c r="I1111" t="s">
        <v>78</v>
      </c>
      <c r="K1111" t="s">
        <v>77</v>
      </c>
      <c r="L1111">
        <v>0.4</v>
      </c>
      <c r="M1111">
        <f t="shared" si="38"/>
        <v>8.377580409572781E-2</v>
      </c>
      <c r="N1111">
        <v>2</v>
      </c>
      <c r="O1111">
        <v>6</v>
      </c>
    </row>
    <row r="1112" spans="1:15" x14ac:dyDescent="0.45">
      <c r="A1112" t="s">
        <v>97</v>
      </c>
      <c r="C1112" t="s">
        <v>116</v>
      </c>
      <c r="E1112" s="19">
        <v>45820</v>
      </c>
      <c r="H1112" t="s">
        <v>81</v>
      </c>
      <c r="I1112" t="s">
        <v>80</v>
      </c>
      <c r="K1112" t="s">
        <v>77</v>
      </c>
      <c r="L1112">
        <v>1</v>
      </c>
      <c r="M1112">
        <f t="shared" si="38"/>
        <v>0.52359877559829882</v>
      </c>
      <c r="N1112">
        <v>1</v>
      </c>
      <c r="O1112">
        <v>1</v>
      </c>
    </row>
    <row r="1113" spans="1:15" x14ac:dyDescent="0.45">
      <c r="A1113" t="s">
        <v>97</v>
      </c>
      <c r="C1113" t="s">
        <v>116</v>
      </c>
      <c r="E1113" s="19">
        <v>45820</v>
      </c>
      <c r="H1113" t="s">
        <v>81</v>
      </c>
      <c r="I1113" t="s">
        <v>80</v>
      </c>
      <c r="K1113" t="s">
        <v>77</v>
      </c>
      <c r="L1113">
        <v>0.8</v>
      </c>
      <c r="M1113">
        <f t="shared" si="38"/>
        <v>0.33510321638291124</v>
      </c>
    </row>
    <row r="1114" spans="1:15" x14ac:dyDescent="0.45">
      <c r="A1114" t="s">
        <v>97</v>
      </c>
      <c r="C1114" t="s">
        <v>116</v>
      </c>
      <c r="E1114" s="19">
        <v>45820</v>
      </c>
      <c r="H1114" t="s">
        <v>81</v>
      </c>
      <c r="I1114" t="s">
        <v>80</v>
      </c>
      <c r="K1114" t="s">
        <v>79</v>
      </c>
      <c r="L1114">
        <v>0.2</v>
      </c>
      <c r="M1114">
        <f t="shared" si="38"/>
        <v>3.1415926535897934E-2</v>
      </c>
    </row>
    <row r="1115" spans="1:15" x14ac:dyDescent="0.45">
      <c r="A1115" t="s">
        <v>97</v>
      </c>
      <c r="C1115" t="s">
        <v>116</v>
      </c>
      <c r="E1115" s="19">
        <v>45820</v>
      </c>
      <c r="H1115" t="s">
        <v>81</v>
      </c>
      <c r="I1115" t="s">
        <v>80</v>
      </c>
      <c r="K1115" t="s">
        <v>79</v>
      </c>
      <c r="L1115">
        <v>0.3</v>
      </c>
      <c r="M1115">
        <f t="shared" si="38"/>
        <v>7.0685834705770348E-2</v>
      </c>
    </row>
    <row r="1116" spans="1:15" x14ac:dyDescent="0.45">
      <c r="A1116" t="s">
        <v>97</v>
      </c>
      <c r="C1116" t="s">
        <v>116</v>
      </c>
      <c r="E1116" s="19">
        <v>45820</v>
      </c>
      <c r="H1116" t="s">
        <v>81</v>
      </c>
      <c r="I1116" t="s">
        <v>80</v>
      </c>
      <c r="K1116" t="s">
        <v>79</v>
      </c>
      <c r="L1116">
        <v>0.3</v>
      </c>
      <c r="M1116">
        <f t="shared" si="38"/>
        <v>7.0685834705770348E-2</v>
      </c>
    </row>
    <row r="1117" spans="1:15" x14ac:dyDescent="0.45">
      <c r="A1117" t="s">
        <v>117</v>
      </c>
      <c r="C1117" t="s">
        <v>118</v>
      </c>
      <c r="E1117" s="19">
        <v>45820</v>
      </c>
      <c r="H1117" t="s">
        <v>75</v>
      </c>
      <c r="I1117" t="s">
        <v>76</v>
      </c>
      <c r="K1117" t="s">
        <v>79</v>
      </c>
      <c r="L1117">
        <v>0.3</v>
      </c>
      <c r="M1117">
        <f t="shared" si="38"/>
        <v>7.0685834705770348E-2</v>
      </c>
      <c r="O1117">
        <v>1</v>
      </c>
    </row>
    <row r="1118" spans="1:15" x14ac:dyDescent="0.45">
      <c r="A1118" t="s">
        <v>117</v>
      </c>
      <c r="C1118" t="s">
        <v>118</v>
      </c>
      <c r="E1118" s="19">
        <v>45820</v>
      </c>
      <c r="H1118" t="s">
        <v>75</v>
      </c>
      <c r="I1118" t="s">
        <v>78</v>
      </c>
      <c r="K1118" t="s">
        <v>79</v>
      </c>
      <c r="L1118">
        <v>0.3</v>
      </c>
      <c r="M1118">
        <f t="shared" si="38"/>
        <v>7.0685834705770348E-2</v>
      </c>
      <c r="O1118">
        <v>4</v>
      </c>
    </row>
    <row r="1119" spans="1:15" x14ac:dyDescent="0.45">
      <c r="A1119" t="s">
        <v>117</v>
      </c>
      <c r="C1119" t="s">
        <v>118</v>
      </c>
      <c r="E1119" s="19">
        <v>45820</v>
      </c>
      <c r="H1119" t="s">
        <v>75</v>
      </c>
      <c r="I1119" t="s">
        <v>78</v>
      </c>
      <c r="K1119" t="s">
        <v>79</v>
      </c>
      <c r="L1119">
        <v>0.3</v>
      </c>
      <c r="M1119">
        <f t="shared" si="38"/>
        <v>7.0685834705770348E-2</v>
      </c>
    </row>
    <row r="1120" spans="1:15" x14ac:dyDescent="0.45">
      <c r="A1120" t="s">
        <v>117</v>
      </c>
      <c r="C1120" t="s">
        <v>118</v>
      </c>
      <c r="E1120" s="19">
        <v>45820</v>
      </c>
      <c r="H1120" t="s">
        <v>75</v>
      </c>
      <c r="I1120" t="s">
        <v>80</v>
      </c>
      <c r="K1120" t="s">
        <v>79</v>
      </c>
      <c r="L1120">
        <v>0.5</v>
      </c>
      <c r="M1120">
        <f t="shared" si="38"/>
        <v>0.19634954084936207</v>
      </c>
      <c r="N1120">
        <v>2</v>
      </c>
    </row>
    <row r="1121" spans="1:16" x14ac:dyDescent="0.45">
      <c r="A1121" t="s">
        <v>117</v>
      </c>
      <c r="C1121" t="s">
        <v>118</v>
      </c>
      <c r="E1121" s="19">
        <v>45820</v>
      </c>
      <c r="H1121" t="s">
        <v>75</v>
      </c>
      <c r="I1121" t="s">
        <v>80</v>
      </c>
      <c r="K1121" t="s">
        <v>77</v>
      </c>
      <c r="L1121">
        <v>0.8</v>
      </c>
      <c r="M1121">
        <f t="shared" si="38"/>
        <v>0.33510321638291124</v>
      </c>
    </row>
    <row r="1122" spans="1:16" x14ac:dyDescent="0.45">
      <c r="A1122" t="s">
        <v>117</v>
      </c>
      <c r="C1122" t="s">
        <v>118</v>
      </c>
      <c r="E1122" s="19">
        <v>45820</v>
      </c>
      <c r="H1122" t="s">
        <v>75</v>
      </c>
      <c r="I1122" t="s">
        <v>80</v>
      </c>
      <c r="K1122" t="s">
        <v>79</v>
      </c>
      <c r="L1122">
        <v>0.4</v>
      </c>
      <c r="M1122">
        <f t="shared" si="38"/>
        <v>0.12566370614359174</v>
      </c>
    </row>
    <row r="1123" spans="1:16" x14ac:dyDescent="0.45">
      <c r="A1123" t="s">
        <v>117</v>
      </c>
      <c r="C1123" t="s">
        <v>118</v>
      </c>
      <c r="E1123" s="19">
        <v>45820</v>
      </c>
      <c r="H1123" t="s">
        <v>81</v>
      </c>
      <c r="I1123" t="s">
        <v>76</v>
      </c>
      <c r="K1123" t="s">
        <v>79</v>
      </c>
      <c r="L1123">
        <v>0.3</v>
      </c>
      <c r="M1123">
        <f t="shared" si="38"/>
        <v>7.0685834705770348E-2</v>
      </c>
      <c r="O1123">
        <v>2</v>
      </c>
    </row>
    <row r="1124" spans="1:16" x14ac:dyDescent="0.45">
      <c r="A1124" t="s">
        <v>117</v>
      </c>
      <c r="C1124" t="s">
        <v>118</v>
      </c>
      <c r="E1124" s="19">
        <v>45820</v>
      </c>
      <c r="G1124" t="s">
        <v>119</v>
      </c>
      <c r="H1124" t="s">
        <v>81</v>
      </c>
      <c r="I1124" t="s">
        <v>78</v>
      </c>
      <c r="K1124" t="s">
        <v>79</v>
      </c>
      <c r="L1124">
        <v>0.3</v>
      </c>
      <c r="M1124">
        <f t="shared" si="38"/>
        <v>7.0685834705770348E-2</v>
      </c>
      <c r="O1124">
        <v>4</v>
      </c>
    </row>
    <row r="1125" spans="1:16" x14ac:dyDescent="0.45">
      <c r="A1125" t="s">
        <v>117</v>
      </c>
      <c r="C1125" t="s">
        <v>118</v>
      </c>
      <c r="E1125" s="19">
        <v>45820</v>
      </c>
      <c r="H1125" t="s">
        <v>81</v>
      </c>
      <c r="I1125" t="s">
        <v>78</v>
      </c>
      <c r="K1125" t="s">
        <v>79</v>
      </c>
      <c r="L1125">
        <v>0.3</v>
      </c>
      <c r="M1125">
        <f t="shared" si="38"/>
        <v>7.0685834705770348E-2</v>
      </c>
    </row>
    <row r="1126" spans="1:16" x14ac:dyDescent="0.45">
      <c r="A1126" t="s">
        <v>117</v>
      </c>
      <c r="C1126" t="s">
        <v>118</v>
      </c>
      <c r="E1126" s="19">
        <v>45820</v>
      </c>
      <c r="H1126" t="s">
        <v>81</v>
      </c>
      <c r="I1126" t="s">
        <v>80</v>
      </c>
      <c r="K1126" t="s">
        <v>79</v>
      </c>
      <c r="L1126">
        <v>0.6</v>
      </c>
      <c r="M1126">
        <f t="shared" si="38"/>
        <v>0.28274333882308139</v>
      </c>
      <c r="N1126">
        <v>1</v>
      </c>
      <c r="O1126">
        <v>1</v>
      </c>
    </row>
    <row r="1127" spans="1:16" x14ac:dyDescent="0.45">
      <c r="A1127" t="s">
        <v>117</v>
      </c>
      <c r="C1127" t="s">
        <v>118</v>
      </c>
      <c r="E1127" s="19">
        <v>45820</v>
      </c>
      <c r="H1127" t="s">
        <v>81</v>
      </c>
      <c r="I1127" t="s">
        <v>80</v>
      </c>
      <c r="K1127" t="s">
        <v>77</v>
      </c>
      <c r="L1127">
        <v>0.8</v>
      </c>
      <c r="M1127">
        <f t="shared" si="38"/>
        <v>0.33510321638291124</v>
      </c>
    </row>
    <row r="1128" spans="1:16" x14ac:dyDescent="0.45">
      <c r="A1128" t="s">
        <v>117</v>
      </c>
      <c r="C1128" t="s">
        <v>118</v>
      </c>
      <c r="E1128" s="19">
        <v>45820</v>
      </c>
      <c r="H1128" t="s">
        <v>81</v>
      </c>
      <c r="I1128" t="s">
        <v>80</v>
      </c>
      <c r="K1128" t="s">
        <v>79</v>
      </c>
      <c r="L1128">
        <v>0.4</v>
      </c>
      <c r="M1128">
        <f t="shared" si="38"/>
        <v>0.12566370614359174</v>
      </c>
    </row>
    <row r="1129" spans="1:16" x14ac:dyDescent="0.45">
      <c r="A1129" t="s">
        <v>117</v>
      </c>
      <c r="C1129" t="s">
        <v>118</v>
      </c>
      <c r="E1129" s="19">
        <v>45820</v>
      </c>
      <c r="H1129" t="s">
        <v>81</v>
      </c>
      <c r="I1129" t="s">
        <v>80</v>
      </c>
      <c r="K1129" t="s">
        <v>79</v>
      </c>
      <c r="L1129">
        <v>0.4</v>
      </c>
      <c r="M1129">
        <f t="shared" si="38"/>
        <v>0.12566370614359174</v>
      </c>
    </row>
    <row r="1130" spans="1:16" x14ac:dyDescent="0.45">
      <c r="A1130" t="s">
        <v>117</v>
      </c>
      <c r="C1130" t="s">
        <v>118</v>
      </c>
      <c r="E1130" s="19">
        <v>45820</v>
      </c>
      <c r="H1130" t="s">
        <v>81</v>
      </c>
      <c r="I1130" t="s">
        <v>80</v>
      </c>
      <c r="K1130" t="s">
        <v>79</v>
      </c>
      <c r="L1130">
        <v>0.5</v>
      </c>
      <c r="M1130">
        <f t="shared" si="38"/>
        <v>0.19634954084936207</v>
      </c>
    </row>
    <row r="1131" spans="1:16" x14ac:dyDescent="0.45">
      <c r="A1131" t="s">
        <v>120</v>
      </c>
      <c r="E1131" s="19">
        <v>45820</v>
      </c>
      <c r="H1131" t="s">
        <v>75</v>
      </c>
      <c r="I1131" t="s">
        <v>76</v>
      </c>
      <c r="K1131" t="s">
        <v>77</v>
      </c>
      <c r="L1131">
        <v>0.4</v>
      </c>
      <c r="M1131">
        <f t="shared" si="38"/>
        <v>8.377580409572781E-2</v>
      </c>
    </row>
    <row r="1132" spans="1:16" x14ac:dyDescent="0.45">
      <c r="A1132" t="s">
        <v>120</v>
      </c>
      <c r="E1132" s="19">
        <v>45820</v>
      </c>
      <c r="H1132" t="s">
        <v>75</v>
      </c>
      <c r="I1132" t="s">
        <v>78</v>
      </c>
      <c r="K1132" t="s">
        <v>77</v>
      </c>
      <c r="L1132">
        <v>1.2</v>
      </c>
      <c r="M1132">
        <f t="shared" si="38"/>
        <v>0.7539822368615503</v>
      </c>
    </row>
    <row r="1133" spans="1:16" x14ac:dyDescent="0.45">
      <c r="A1133" t="s">
        <v>120</v>
      </c>
      <c r="E1133" s="19">
        <v>45820</v>
      </c>
      <c r="H1133" t="s">
        <v>75</v>
      </c>
      <c r="I1133" t="s">
        <v>78</v>
      </c>
      <c r="K1133" t="s">
        <v>77</v>
      </c>
      <c r="L1133">
        <v>0.6</v>
      </c>
      <c r="M1133">
        <f t="shared" si="38"/>
        <v>0.18849555921538758</v>
      </c>
    </row>
    <row r="1134" spans="1:16" x14ac:dyDescent="0.45">
      <c r="A1134" t="s">
        <v>120</v>
      </c>
      <c r="E1134" s="19">
        <v>45820</v>
      </c>
      <c r="H1134" t="s">
        <v>75</v>
      </c>
      <c r="I1134" t="s">
        <v>78</v>
      </c>
      <c r="K1134" t="s">
        <v>77</v>
      </c>
      <c r="L1134">
        <v>0.9</v>
      </c>
      <c r="M1134">
        <f t="shared" si="38"/>
        <v>0.42411500823462206</v>
      </c>
      <c r="P1134">
        <v>1</v>
      </c>
    </row>
    <row r="1135" spans="1:16" x14ac:dyDescent="0.45">
      <c r="A1135" t="s">
        <v>120</v>
      </c>
      <c r="E1135" s="19">
        <v>45820</v>
      </c>
      <c r="H1135" t="s">
        <v>75</v>
      </c>
      <c r="I1135" t="s">
        <v>80</v>
      </c>
      <c r="K1135" t="s">
        <v>77</v>
      </c>
      <c r="L1135">
        <v>1.2</v>
      </c>
      <c r="M1135">
        <f t="shared" si="38"/>
        <v>0.7539822368615503</v>
      </c>
    </row>
    <row r="1136" spans="1:16" x14ac:dyDescent="0.45">
      <c r="A1136" t="s">
        <v>120</v>
      </c>
      <c r="E1136" s="19">
        <v>45820</v>
      </c>
      <c r="H1136" t="s">
        <v>75</v>
      </c>
      <c r="I1136" t="s">
        <v>80</v>
      </c>
      <c r="K1136" t="s">
        <v>77</v>
      </c>
      <c r="L1136">
        <v>1</v>
      </c>
      <c r="M1136">
        <f t="shared" si="38"/>
        <v>0.52359877559829882</v>
      </c>
    </row>
    <row r="1137" spans="1:15" x14ac:dyDescent="0.45">
      <c r="A1137" t="s">
        <v>120</v>
      </c>
      <c r="E1137" s="19">
        <v>45820</v>
      </c>
      <c r="H1137" t="s">
        <v>75</v>
      </c>
      <c r="I1137" t="s">
        <v>80</v>
      </c>
      <c r="K1137" t="s">
        <v>77</v>
      </c>
      <c r="L1137">
        <v>1.2</v>
      </c>
      <c r="M1137">
        <f t="shared" si="38"/>
        <v>0.7539822368615503</v>
      </c>
    </row>
    <row r="1138" spans="1:15" x14ac:dyDescent="0.45">
      <c r="A1138" t="s">
        <v>120</v>
      </c>
      <c r="E1138" s="19">
        <v>45820</v>
      </c>
      <c r="H1138" t="s">
        <v>81</v>
      </c>
      <c r="I1138" t="s">
        <v>76</v>
      </c>
      <c r="K1138" t="s">
        <v>77</v>
      </c>
      <c r="L1138">
        <v>1.2</v>
      </c>
      <c r="M1138">
        <f t="shared" si="38"/>
        <v>0.7539822368615503</v>
      </c>
      <c r="O1138">
        <v>1</v>
      </c>
    </row>
    <row r="1139" spans="1:15" x14ac:dyDescent="0.45">
      <c r="A1139" t="s">
        <v>120</v>
      </c>
      <c r="E1139" s="19">
        <v>45820</v>
      </c>
      <c r="H1139" t="s">
        <v>81</v>
      </c>
      <c r="I1139" t="s">
        <v>76</v>
      </c>
      <c r="K1139" t="s">
        <v>77</v>
      </c>
      <c r="L1139">
        <v>0.5</v>
      </c>
      <c r="M1139">
        <f t="shared" si="38"/>
        <v>0.1308996938995747</v>
      </c>
    </row>
    <row r="1140" spans="1:15" x14ac:dyDescent="0.45">
      <c r="A1140" t="s">
        <v>120</v>
      </c>
      <c r="E1140" s="19">
        <v>45820</v>
      </c>
      <c r="H1140" t="s">
        <v>81</v>
      </c>
      <c r="I1140" t="s">
        <v>78</v>
      </c>
      <c r="K1140" t="s">
        <v>79</v>
      </c>
      <c r="L1140">
        <v>0.3</v>
      </c>
      <c r="M1140">
        <f t="shared" si="38"/>
        <v>7.0685834705770348E-2</v>
      </c>
      <c r="O1140">
        <v>2</v>
      </c>
    </row>
    <row r="1141" spans="1:15" x14ac:dyDescent="0.45">
      <c r="A1141" t="s">
        <v>120</v>
      </c>
      <c r="E1141" s="19">
        <v>45820</v>
      </c>
      <c r="H1141" t="s">
        <v>81</v>
      </c>
      <c r="I1141" t="s">
        <v>78</v>
      </c>
      <c r="K1141" t="s">
        <v>79</v>
      </c>
      <c r="L1141">
        <v>0.2</v>
      </c>
      <c r="M1141">
        <f t="shared" si="38"/>
        <v>3.1415926535897934E-2</v>
      </c>
    </row>
    <row r="1142" spans="1:15" x14ac:dyDescent="0.45">
      <c r="A1142" t="s">
        <v>120</v>
      </c>
      <c r="E1142" s="19">
        <v>45820</v>
      </c>
      <c r="H1142" t="s">
        <v>81</v>
      </c>
      <c r="I1142" t="s">
        <v>78</v>
      </c>
      <c r="K1142" t="s">
        <v>79</v>
      </c>
      <c r="L1142">
        <v>0.2</v>
      </c>
      <c r="M1142">
        <f t="shared" si="38"/>
        <v>3.1415926535897934E-2</v>
      </c>
    </row>
    <row r="1143" spans="1:15" x14ac:dyDescent="0.45">
      <c r="A1143" t="s">
        <v>120</v>
      </c>
      <c r="E1143" s="19">
        <v>45820</v>
      </c>
      <c r="H1143" t="s">
        <v>81</v>
      </c>
      <c r="I1143" t="s">
        <v>80</v>
      </c>
      <c r="K1143" t="s">
        <v>77</v>
      </c>
      <c r="L1143">
        <v>1.3</v>
      </c>
      <c r="M1143">
        <f t="shared" si="38"/>
        <v>0.88488193076112509</v>
      </c>
    </row>
    <row r="1144" spans="1:15" x14ac:dyDescent="0.45">
      <c r="A1144" t="s">
        <v>121</v>
      </c>
      <c r="C1144" t="s">
        <v>101</v>
      </c>
      <c r="E1144" s="19">
        <v>45820</v>
      </c>
      <c r="H1144" t="s">
        <v>75</v>
      </c>
      <c r="I1144" t="s">
        <v>76</v>
      </c>
      <c r="K1144" t="s">
        <v>79</v>
      </c>
      <c r="L1144">
        <v>0.1</v>
      </c>
      <c r="M1144">
        <f t="shared" si="38"/>
        <v>7.8539816339744835E-3</v>
      </c>
      <c r="O1144">
        <v>1</v>
      </c>
    </row>
    <row r="1145" spans="1:15" x14ac:dyDescent="0.45">
      <c r="A1145" t="s">
        <v>121</v>
      </c>
      <c r="C1145" t="s">
        <v>101</v>
      </c>
      <c r="E1145" s="19">
        <v>45820</v>
      </c>
      <c r="H1145" t="s">
        <v>75</v>
      </c>
      <c r="I1145" t="s">
        <v>76</v>
      </c>
      <c r="K1145" t="s">
        <v>79</v>
      </c>
      <c r="L1145">
        <v>0.1</v>
      </c>
      <c r="M1145">
        <f t="shared" si="38"/>
        <v>7.8539816339744835E-3</v>
      </c>
    </row>
    <row r="1146" spans="1:15" x14ac:dyDescent="0.45">
      <c r="A1146" t="s">
        <v>121</v>
      </c>
      <c r="C1146" t="s">
        <v>101</v>
      </c>
      <c r="E1146" s="19">
        <v>45820</v>
      </c>
      <c r="H1146" t="s">
        <v>75</v>
      </c>
      <c r="I1146" t="s">
        <v>76</v>
      </c>
      <c r="K1146" t="s">
        <v>79</v>
      </c>
      <c r="L1146">
        <v>0.2</v>
      </c>
      <c r="M1146">
        <f t="shared" si="38"/>
        <v>3.1415926535897934E-2</v>
      </c>
    </row>
    <row r="1147" spans="1:15" x14ac:dyDescent="0.45">
      <c r="A1147" t="s">
        <v>121</v>
      </c>
      <c r="C1147" t="s">
        <v>101</v>
      </c>
      <c r="E1147" s="19">
        <v>45820</v>
      </c>
      <c r="H1147" t="s">
        <v>75</v>
      </c>
      <c r="I1147" t="s">
        <v>78</v>
      </c>
      <c r="K1147" t="s">
        <v>77</v>
      </c>
      <c r="L1147">
        <v>1</v>
      </c>
      <c r="M1147">
        <f t="shared" si="38"/>
        <v>0.52359877559829882</v>
      </c>
      <c r="O1147">
        <v>2</v>
      </c>
    </row>
    <row r="1148" spans="1:15" x14ac:dyDescent="0.45">
      <c r="A1148" t="s">
        <v>121</v>
      </c>
      <c r="C1148" t="s">
        <v>101</v>
      </c>
      <c r="E1148" s="19">
        <v>45820</v>
      </c>
      <c r="H1148" t="s">
        <v>75</v>
      </c>
      <c r="I1148" t="s">
        <v>78</v>
      </c>
      <c r="K1148" t="s">
        <v>77</v>
      </c>
      <c r="L1148">
        <v>1</v>
      </c>
      <c r="M1148">
        <f t="shared" si="38"/>
        <v>0.52359877559829882</v>
      </c>
    </row>
    <row r="1149" spans="1:15" x14ac:dyDescent="0.45">
      <c r="A1149" t="s">
        <v>121</v>
      </c>
      <c r="C1149" t="s">
        <v>101</v>
      </c>
      <c r="E1149" s="19">
        <v>45820</v>
      </c>
      <c r="H1149" t="s">
        <v>75</v>
      </c>
      <c r="I1149" t="s">
        <v>78</v>
      </c>
      <c r="K1149" t="s">
        <v>79</v>
      </c>
      <c r="L1149">
        <v>0.2</v>
      </c>
      <c r="M1149">
        <f t="shared" si="38"/>
        <v>3.1415926535897934E-2</v>
      </c>
    </row>
    <row r="1150" spans="1:15" x14ac:dyDescent="0.45">
      <c r="A1150" t="s">
        <v>121</v>
      </c>
      <c r="C1150" t="s">
        <v>101</v>
      </c>
      <c r="E1150" s="19">
        <v>45820</v>
      </c>
      <c r="H1150" t="s">
        <v>75</v>
      </c>
      <c r="I1150" t="s">
        <v>78</v>
      </c>
      <c r="K1150" t="s">
        <v>79</v>
      </c>
      <c r="L1150">
        <v>0.3</v>
      </c>
      <c r="M1150">
        <f t="shared" si="38"/>
        <v>7.0685834705770348E-2</v>
      </c>
    </row>
    <row r="1151" spans="1:15" x14ac:dyDescent="0.45">
      <c r="A1151" t="s">
        <v>121</v>
      </c>
      <c r="C1151" t="s">
        <v>101</v>
      </c>
      <c r="E1151" s="19">
        <v>45820</v>
      </c>
      <c r="H1151" t="s">
        <v>75</v>
      </c>
      <c r="I1151" t="s">
        <v>78</v>
      </c>
      <c r="K1151" t="s">
        <v>79</v>
      </c>
      <c r="L1151">
        <v>0.2</v>
      </c>
      <c r="M1151">
        <f t="shared" si="38"/>
        <v>3.1415926535897934E-2</v>
      </c>
    </row>
    <row r="1152" spans="1:15" x14ac:dyDescent="0.45">
      <c r="A1152" t="s">
        <v>121</v>
      </c>
      <c r="C1152" t="s">
        <v>101</v>
      </c>
      <c r="E1152" s="19">
        <v>45820</v>
      </c>
      <c r="H1152" t="s">
        <v>75</v>
      </c>
      <c r="I1152" t="s">
        <v>80</v>
      </c>
      <c r="K1152" t="s">
        <v>77</v>
      </c>
      <c r="L1152">
        <v>1</v>
      </c>
      <c r="M1152">
        <f t="shared" si="38"/>
        <v>0.52359877559829882</v>
      </c>
      <c r="N1152">
        <v>3</v>
      </c>
    </row>
    <row r="1153" spans="1:15" x14ac:dyDescent="0.45">
      <c r="A1153" t="s">
        <v>121</v>
      </c>
      <c r="C1153" t="s">
        <v>101</v>
      </c>
      <c r="E1153" s="19">
        <v>45820</v>
      </c>
      <c r="H1153" t="s">
        <v>75</v>
      </c>
      <c r="I1153" t="s">
        <v>80</v>
      </c>
      <c r="K1153" t="s">
        <v>79</v>
      </c>
      <c r="L1153">
        <v>0.3</v>
      </c>
      <c r="M1153">
        <f t="shared" si="38"/>
        <v>7.0685834705770348E-2</v>
      </c>
    </row>
    <row r="1154" spans="1:15" x14ac:dyDescent="0.45">
      <c r="A1154" t="s">
        <v>121</v>
      </c>
      <c r="C1154" t="s">
        <v>101</v>
      </c>
      <c r="E1154" s="19">
        <v>45820</v>
      </c>
      <c r="H1154" t="s">
        <v>75</v>
      </c>
      <c r="I1154" t="s">
        <v>80</v>
      </c>
      <c r="K1154" t="s">
        <v>79</v>
      </c>
      <c r="L1154">
        <v>0.1</v>
      </c>
      <c r="M1154">
        <f t="shared" si="38"/>
        <v>7.8539816339744835E-3</v>
      </c>
    </row>
    <row r="1155" spans="1:15" x14ac:dyDescent="0.45">
      <c r="A1155" t="s">
        <v>121</v>
      </c>
      <c r="C1155" t="s">
        <v>101</v>
      </c>
      <c r="E1155" s="19">
        <v>45820</v>
      </c>
      <c r="H1155" t="s">
        <v>75</v>
      </c>
      <c r="I1155" t="s">
        <v>80</v>
      </c>
      <c r="K1155" t="s">
        <v>79</v>
      </c>
      <c r="L1155">
        <v>0.2</v>
      </c>
      <c r="M1155">
        <f t="shared" si="38"/>
        <v>3.1415926535897934E-2</v>
      </c>
    </row>
    <row r="1156" spans="1:15" x14ac:dyDescent="0.45">
      <c r="A1156" t="s">
        <v>121</v>
      </c>
      <c r="C1156" t="s">
        <v>101</v>
      </c>
      <c r="E1156" s="19">
        <v>45820</v>
      </c>
      <c r="H1156" t="s">
        <v>75</v>
      </c>
      <c r="I1156" t="s">
        <v>80</v>
      </c>
      <c r="K1156" t="s">
        <v>79</v>
      </c>
      <c r="L1156">
        <v>0.1</v>
      </c>
      <c r="M1156">
        <f t="shared" si="38"/>
        <v>7.8539816339744835E-3</v>
      </c>
      <c r="N1156">
        <v>0</v>
      </c>
    </row>
    <row r="1157" spans="1:15" x14ac:dyDescent="0.45">
      <c r="A1157" t="s">
        <v>121</v>
      </c>
      <c r="C1157" t="s">
        <v>101</v>
      </c>
      <c r="E1157" s="19">
        <v>45820</v>
      </c>
      <c r="H1157" t="s">
        <v>75</v>
      </c>
      <c r="I1157" t="s">
        <v>80</v>
      </c>
      <c r="K1157" t="s">
        <v>77</v>
      </c>
      <c r="L1157">
        <v>0.8</v>
      </c>
      <c r="M1157">
        <f t="shared" si="38"/>
        <v>0.33510321638291124</v>
      </c>
    </row>
    <row r="1158" spans="1:15" x14ac:dyDescent="0.45">
      <c r="A1158" t="s">
        <v>121</v>
      </c>
      <c r="C1158" t="s">
        <v>101</v>
      </c>
      <c r="E1158" s="19">
        <v>45820</v>
      </c>
      <c r="H1158" t="s">
        <v>81</v>
      </c>
      <c r="I1158" t="s">
        <v>76</v>
      </c>
      <c r="K1158" t="s">
        <v>79</v>
      </c>
      <c r="L1158">
        <v>2</v>
      </c>
      <c r="M1158">
        <f t="shared" si="38"/>
        <v>3.1415926535897931</v>
      </c>
      <c r="O1158">
        <v>1</v>
      </c>
    </row>
    <row r="1159" spans="1:15" x14ac:dyDescent="0.45">
      <c r="A1159" t="s">
        <v>121</v>
      </c>
      <c r="C1159" t="s">
        <v>101</v>
      </c>
      <c r="E1159" s="19">
        <v>45820</v>
      </c>
      <c r="H1159" t="s">
        <v>81</v>
      </c>
      <c r="I1159" t="s">
        <v>78</v>
      </c>
      <c r="K1159" t="s">
        <v>77</v>
      </c>
      <c r="L1159">
        <v>1.2</v>
      </c>
      <c r="M1159">
        <f t="shared" si="38"/>
        <v>0.7539822368615503</v>
      </c>
      <c r="N1159">
        <v>2</v>
      </c>
    </row>
    <row r="1160" spans="1:15" x14ac:dyDescent="0.45">
      <c r="A1160" t="s">
        <v>121</v>
      </c>
      <c r="C1160" t="s">
        <v>101</v>
      </c>
      <c r="E1160" s="19">
        <v>45820</v>
      </c>
      <c r="H1160" t="s">
        <v>81</v>
      </c>
      <c r="I1160" t="s">
        <v>80</v>
      </c>
      <c r="K1160" t="s">
        <v>77</v>
      </c>
      <c r="L1160">
        <v>1.3</v>
      </c>
      <c r="M1160">
        <f t="shared" si="38"/>
        <v>0.88488193076112509</v>
      </c>
    </row>
    <row r="1161" spans="1:15" x14ac:dyDescent="0.45">
      <c r="A1161" t="s">
        <v>121</v>
      </c>
      <c r="C1161" t="s">
        <v>101</v>
      </c>
      <c r="E1161" s="19">
        <v>45820</v>
      </c>
      <c r="H1161" t="s">
        <v>81</v>
      </c>
      <c r="I1161" t="s">
        <v>80</v>
      </c>
      <c r="K1161" t="s">
        <v>77</v>
      </c>
      <c r="L1161">
        <v>1</v>
      </c>
      <c r="M1161">
        <f t="shared" si="38"/>
        <v>0.52359877559829882</v>
      </c>
    </row>
    <row r="1162" spans="1:15" x14ac:dyDescent="0.45">
      <c r="A1162" t="s">
        <v>121</v>
      </c>
      <c r="C1162" t="s">
        <v>101</v>
      </c>
      <c r="E1162" s="19">
        <v>45820</v>
      </c>
      <c r="H1162" t="s">
        <v>81</v>
      </c>
      <c r="I1162" t="s">
        <v>80</v>
      </c>
      <c r="K1162" t="s">
        <v>79</v>
      </c>
      <c r="L1162">
        <v>0.2</v>
      </c>
      <c r="M1162">
        <f t="shared" si="38"/>
        <v>3.1415926535897934E-2</v>
      </c>
    </row>
    <row r="1163" spans="1:15" x14ac:dyDescent="0.45">
      <c r="A1163" t="s">
        <v>100</v>
      </c>
      <c r="C1163" t="s">
        <v>122</v>
      </c>
      <c r="E1163" s="19">
        <v>45820</v>
      </c>
      <c r="H1163" t="s">
        <v>75</v>
      </c>
      <c r="I1163" t="s">
        <v>76</v>
      </c>
      <c r="M1163" t="str">
        <f t="shared" si="38"/>
        <v/>
      </c>
      <c r="O1163">
        <v>3</v>
      </c>
    </row>
    <row r="1164" spans="1:15" x14ac:dyDescent="0.45">
      <c r="A1164" t="s">
        <v>100</v>
      </c>
      <c r="C1164" t="s">
        <v>122</v>
      </c>
      <c r="E1164" s="19">
        <v>45820</v>
      </c>
      <c r="H1164" t="s">
        <v>75</v>
      </c>
      <c r="I1164" t="s">
        <v>78</v>
      </c>
      <c r="K1164" t="s">
        <v>77</v>
      </c>
      <c r="L1164">
        <v>1.2</v>
      </c>
      <c r="M1164">
        <f t="shared" si="38"/>
        <v>0.7539822368615503</v>
      </c>
      <c r="O1164">
        <v>1</v>
      </c>
    </row>
    <row r="1165" spans="1:15" x14ac:dyDescent="0.45">
      <c r="A1165" t="s">
        <v>100</v>
      </c>
      <c r="C1165" t="s">
        <v>122</v>
      </c>
      <c r="E1165" s="19">
        <v>45820</v>
      </c>
      <c r="H1165" t="s">
        <v>75</v>
      </c>
      <c r="I1165" t="s">
        <v>78</v>
      </c>
      <c r="K1165" t="s">
        <v>79</v>
      </c>
      <c r="L1165">
        <v>0.2</v>
      </c>
      <c r="M1165">
        <f t="shared" ref="M1165:M1228" si="39">IF(OR(L1165="na", L1165=""), "", IF(K1165="mm", PI()*(L1165/2)^2, IF(K1165="ep", PI()*(L1165/2)*(L1165*(2/3)/2), "")))</f>
        <v>3.1415926535897934E-2</v>
      </c>
    </row>
    <row r="1166" spans="1:15" x14ac:dyDescent="0.45">
      <c r="A1166" t="s">
        <v>100</v>
      </c>
      <c r="C1166" t="s">
        <v>122</v>
      </c>
      <c r="E1166" s="19">
        <v>45820</v>
      </c>
      <c r="H1166" t="s">
        <v>75</v>
      </c>
      <c r="I1166" t="s">
        <v>80</v>
      </c>
      <c r="K1166" t="s">
        <v>77</v>
      </c>
      <c r="L1166">
        <v>2</v>
      </c>
      <c r="M1166">
        <f t="shared" si="39"/>
        <v>2.0943951023931953</v>
      </c>
    </row>
    <row r="1167" spans="1:15" x14ac:dyDescent="0.45">
      <c r="A1167" t="s">
        <v>100</v>
      </c>
      <c r="C1167" t="s">
        <v>122</v>
      </c>
      <c r="E1167" s="19">
        <v>45820</v>
      </c>
      <c r="H1167" t="s">
        <v>75</v>
      </c>
      <c r="I1167" t="s">
        <v>80</v>
      </c>
      <c r="K1167" t="s">
        <v>79</v>
      </c>
      <c r="L1167">
        <v>0.5</v>
      </c>
      <c r="M1167">
        <f t="shared" si="39"/>
        <v>0.19634954084936207</v>
      </c>
    </row>
    <row r="1168" spans="1:15" x14ac:dyDescent="0.45">
      <c r="A1168" t="s">
        <v>100</v>
      </c>
      <c r="C1168" t="s">
        <v>122</v>
      </c>
      <c r="E1168" s="19">
        <v>45820</v>
      </c>
      <c r="H1168" t="s">
        <v>81</v>
      </c>
      <c r="I1168" t="s">
        <v>76</v>
      </c>
      <c r="M1168" t="str">
        <f t="shared" si="39"/>
        <v/>
      </c>
      <c r="O1168">
        <v>3</v>
      </c>
    </row>
    <row r="1169" spans="1:15" x14ac:dyDescent="0.45">
      <c r="A1169" t="s">
        <v>100</v>
      </c>
      <c r="C1169" t="s">
        <v>122</v>
      </c>
      <c r="E1169" s="19">
        <v>45820</v>
      </c>
      <c r="H1169" t="s">
        <v>81</v>
      </c>
      <c r="I1169" t="s">
        <v>78</v>
      </c>
      <c r="K1169" t="s">
        <v>77</v>
      </c>
      <c r="L1169">
        <v>1.2</v>
      </c>
      <c r="M1169">
        <f t="shared" si="39"/>
        <v>0.7539822368615503</v>
      </c>
      <c r="O1169">
        <v>1</v>
      </c>
    </row>
    <row r="1170" spans="1:15" x14ac:dyDescent="0.45">
      <c r="A1170" t="s">
        <v>100</v>
      </c>
      <c r="C1170" t="s">
        <v>122</v>
      </c>
      <c r="E1170" s="19">
        <v>45820</v>
      </c>
      <c r="H1170" t="s">
        <v>81</v>
      </c>
      <c r="I1170" t="s">
        <v>78</v>
      </c>
      <c r="K1170" t="s">
        <v>79</v>
      </c>
      <c r="L1170">
        <v>0.2</v>
      </c>
      <c r="M1170">
        <f t="shared" si="39"/>
        <v>3.1415926535897934E-2</v>
      </c>
    </row>
    <row r="1171" spans="1:15" x14ac:dyDescent="0.45">
      <c r="A1171" t="s">
        <v>100</v>
      </c>
      <c r="C1171" t="s">
        <v>122</v>
      </c>
      <c r="E1171" s="19">
        <v>45820</v>
      </c>
      <c r="H1171" t="s">
        <v>81</v>
      </c>
      <c r="I1171" t="s">
        <v>80</v>
      </c>
      <c r="K1171" t="s">
        <v>77</v>
      </c>
      <c r="L1171">
        <v>2</v>
      </c>
      <c r="M1171">
        <f t="shared" si="39"/>
        <v>2.0943951023931953</v>
      </c>
    </row>
    <row r="1172" spans="1:15" x14ac:dyDescent="0.45">
      <c r="A1172" t="s">
        <v>100</v>
      </c>
      <c r="C1172" t="s">
        <v>122</v>
      </c>
      <c r="E1172" s="19">
        <v>45820</v>
      </c>
      <c r="H1172" t="s">
        <v>81</v>
      </c>
      <c r="I1172" t="s">
        <v>80</v>
      </c>
      <c r="K1172" t="s">
        <v>79</v>
      </c>
      <c r="L1172">
        <v>0.5</v>
      </c>
      <c r="M1172">
        <f t="shared" si="39"/>
        <v>0.19634954084936207</v>
      </c>
    </row>
    <row r="1173" spans="1:15" x14ac:dyDescent="0.45">
      <c r="A1173" t="s">
        <v>123</v>
      </c>
      <c r="C1173" t="s">
        <v>124</v>
      </c>
      <c r="E1173" s="19">
        <v>45820</v>
      </c>
      <c r="H1173" t="s">
        <v>75</v>
      </c>
      <c r="I1173" t="s">
        <v>76</v>
      </c>
      <c r="M1173" t="str">
        <f t="shared" si="39"/>
        <v/>
      </c>
    </row>
    <row r="1174" spans="1:15" x14ac:dyDescent="0.45">
      <c r="A1174" t="s">
        <v>123</v>
      </c>
      <c r="C1174" t="s">
        <v>124</v>
      </c>
      <c r="E1174" s="19">
        <v>45820</v>
      </c>
      <c r="H1174" t="s">
        <v>75</v>
      </c>
      <c r="I1174" t="s">
        <v>78</v>
      </c>
      <c r="M1174" t="str">
        <f t="shared" si="39"/>
        <v/>
      </c>
    </row>
    <row r="1175" spans="1:15" x14ac:dyDescent="0.45">
      <c r="A1175" t="s">
        <v>123</v>
      </c>
      <c r="C1175" t="s">
        <v>124</v>
      </c>
      <c r="E1175" s="19">
        <v>45820</v>
      </c>
      <c r="H1175" t="s">
        <v>75</v>
      </c>
      <c r="I1175" t="s">
        <v>80</v>
      </c>
      <c r="K1175" t="s">
        <v>79</v>
      </c>
      <c r="L1175">
        <v>0.5</v>
      </c>
      <c r="M1175">
        <f t="shared" si="39"/>
        <v>0.19634954084936207</v>
      </c>
      <c r="N1175">
        <v>1</v>
      </c>
      <c r="O1175">
        <v>4</v>
      </c>
    </row>
    <row r="1176" spans="1:15" x14ac:dyDescent="0.45">
      <c r="A1176" t="s">
        <v>123</v>
      </c>
      <c r="C1176" t="s">
        <v>124</v>
      </c>
      <c r="E1176" s="19">
        <v>45820</v>
      </c>
      <c r="H1176" t="s">
        <v>75</v>
      </c>
      <c r="I1176" t="s">
        <v>80</v>
      </c>
      <c r="K1176" t="s">
        <v>77</v>
      </c>
      <c r="L1176">
        <v>0.5</v>
      </c>
      <c r="M1176">
        <f t="shared" si="39"/>
        <v>0.1308996938995747</v>
      </c>
    </row>
    <row r="1177" spans="1:15" x14ac:dyDescent="0.45">
      <c r="A1177" t="s">
        <v>123</v>
      </c>
      <c r="C1177" t="s">
        <v>124</v>
      </c>
      <c r="E1177" s="19">
        <v>45820</v>
      </c>
      <c r="H1177" t="s">
        <v>81</v>
      </c>
      <c r="I1177" t="s">
        <v>76</v>
      </c>
      <c r="M1177" t="str">
        <f t="shared" si="39"/>
        <v/>
      </c>
      <c r="O1177">
        <v>3</v>
      </c>
    </row>
    <row r="1178" spans="1:15" x14ac:dyDescent="0.45">
      <c r="A1178" t="s">
        <v>123</v>
      </c>
      <c r="C1178" t="s">
        <v>124</v>
      </c>
      <c r="E1178" s="19">
        <v>45820</v>
      </c>
      <c r="H1178" t="s">
        <v>81</v>
      </c>
      <c r="I1178" t="s">
        <v>78</v>
      </c>
      <c r="K1178" t="s">
        <v>77</v>
      </c>
      <c r="L1178">
        <v>0.5</v>
      </c>
      <c r="M1178">
        <f t="shared" si="39"/>
        <v>0.1308996938995747</v>
      </c>
      <c r="O1178">
        <v>3</v>
      </c>
    </row>
    <row r="1179" spans="1:15" x14ac:dyDescent="0.45">
      <c r="A1179" t="s">
        <v>123</v>
      </c>
      <c r="C1179" t="s">
        <v>124</v>
      </c>
      <c r="E1179" s="19">
        <v>45820</v>
      </c>
      <c r="H1179" t="s">
        <v>81</v>
      </c>
      <c r="I1179" t="s">
        <v>78</v>
      </c>
      <c r="K1179" t="s">
        <v>77</v>
      </c>
      <c r="L1179">
        <v>0.5</v>
      </c>
      <c r="M1179">
        <f t="shared" si="39"/>
        <v>0.1308996938995747</v>
      </c>
    </row>
    <row r="1180" spans="1:15" x14ac:dyDescent="0.45">
      <c r="A1180" t="s">
        <v>123</v>
      </c>
      <c r="C1180" t="s">
        <v>124</v>
      </c>
      <c r="E1180" s="19">
        <v>45820</v>
      </c>
      <c r="H1180" t="s">
        <v>81</v>
      </c>
      <c r="I1180" t="s">
        <v>78</v>
      </c>
      <c r="K1180" t="s">
        <v>79</v>
      </c>
      <c r="L1180">
        <v>0.2</v>
      </c>
      <c r="M1180">
        <f t="shared" si="39"/>
        <v>3.1415926535897934E-2</v>
      </c>
    </row>
    <row r="1181" spans="1:15" x14ac:dyDescent="0.45">
      <c r="A1181" t="s">
        <v>123</v>
      </c>
      <c r="C1181" t="s">
        <v>124</v>
      </c>
      <c r="E1181" s="19">
        <v>45820</v>
      </c>
      <c r="H1181" t="s">
        <v>81</v>
      </c>
      <c r="I1181" t="s">
        <v>78</v>
      </c>
      <c r="K1181" t="s">
        <v>79</v>
      </c>
      <c r="L1181">
        <v>0.2</v>
      </c>
      <c r="M1181">
        <f t="shared" si="39"/>
        <v>3.1415926535897934E-2</v>
      </c>
    </row>
    <row r="1182" spans="1:15" x14ac:dyDescent="0.45">
      <c r="A1182" t="s">
        <v>123</v>
      </c>
      <c r="C1182" t="s">
        <v>124</v>
      </c>
      <c r="E1182" s="19">
        <v>45820</v>
      </c>
      <c r="H1182" t="s">
        <v>81</v>
      </c>
      <c r="I1182" t="s">
        <v>78</v>
      </c>
      <c r="K1182" t="s">
        <v>79</v>
      </c>
      <c r="L1182">
        <v>0.2</v>
      </c>
      <c r="M1182">
        <f t="shared" si="39"/>
        <v>3.1415926535897934E-2</v>
      </c>
    </row>
    <row r="1183" spans="1:15" x14ac:dyDescent="0.45">
      <c r="A1183" t="s">
        <v>123</v>
      </c>
      <c r="C1183" t="s">
        <v>124</v>
      </c>
      <c r="E1183" s="19">
        <v>45820</v>
      </c>
      <c r="H1183" t="s">
        <v>81</v>
      </c>
      <c r="I1183" t="s">
        <v>80</v>
      </c>
      <c r="K1183" t="s">
        <v>77</v>
      </c>
      <c r="L1183">
        <v>1.5</v>
      </c>
      <c r="M1183">
        <f t="shared" si="39"/>
        <v>1.1780972450961724</v>
      </c>
    </row>
    <row r="1184" spans="1:15" x14ac:dyDescent="0.45">
      <c r="A1184" t="s">
        <v>125</v>
      </c>
      <c r="C1184" t="s">
        <v>126</v>
      </c>
      <c r="E1184" s="19">
        <v>45820</v>
      </c>
      <c r="H1184" t="s">
        <v>75</v>
      </c>
      <c r="I1184" t="s">
        <v>76</v>
      </c>
      <c r="M1184" t="str">
        <f t="shared" si="39"/>
        <v/>
      </c>
    </row>
    <row r="1185" spans="1:16" x14ac:dyDescent="0.45">
      <c r="A1185" t="s">
        <v>125</v>
      </c>
      <c r="C1185" t="s">
        <v>126</v>
      </c>
      <c r="E1185" s="19">
        <v>45820</v>
      </c>
      <c r="H1185" t="s">
        <v>75</v>
      </c>
      <c r="I1185" t="s">
        <v>78</v>
      </c>
      <c r="K1185" t="s">
        <v>79</v>
      </c>
      <c r="L1185">
        <v>0.3</v>
      </c>
      <c r="M1185">
        <f t="shared" si="39"/>
        <v>7.0685834705770348E-2</v>
      </c>
      <c r="N1185">
        <v>1</v>
      </c>
      <c r="O1185">
        <v>2</v>
      </c>
    </row>
    <row r="1186" spans="1:16" x14ac:dyDescent="0.45">
      <c r="A1186" t="s">
        <v>125</v>
      </c>
      <c r="C1186" t="s">
        <v>126</v>
      </c>
      <c r="E1186" s="19">
        <v>45820</v>
      </c>
      <c r="H1186" t="s">
        <v>75</v>
      </c>
      <c r="I1186" t="s">
        <v>78</v>
      </c>
      <c r="K1186" t="s">
        <v>79</v>
      </c>
      <c r="L1186">
        <v>0.2</v>
      </c>
      <c r="M1186">
        <f t="shared" si="39"/>
        <v>3.1415926535897934E-2</v>
      </c>
    </row>
    <row r="1187" spans="1:16" x14ac:dyDescent="0.45">
      <c r="A1187" t="s">
        <v>125</v>
      </c>
      <c r="C1187" t="s">
        <v>126</v>
      </c>
      <c r="E1187" s="19">
        <v>45820</v>
      </c>
      <c r="H1187" t="s">
        <v>75</v>
      </c>
      <c r="I1187" t="s">
        <v>78</v>
      </c>
      <c r="K1187" t="s">
        <v>79</v>
      </c>
      <c r="L1187">
        <v>0.3</v>
      </c>
      <c r="M1187">
        <f t="shared" si="39"/>
        <v>7.0685834705770348E-2</v>
      </c>
    </row>
    <row r="1188" spans="1:16" x14ac:dyDescent="0.45">
      <c r="A1188" t="s">
        <v>125</v>
      </c>
      <c r="C1188" t="s">
        <v>126</v>
      </c>
      <c r="E1188" s="19">
        <v>45820</v>
      </c>
      <c r="H1188" t="s">
        <v>75</v>
      </c>
      <c r="I1188" t="s">
        <v>78</v>
      </c>
      <c r="K1188" t="s">
        <v>79</v>
      </c>
      <c r="L1188">
        <v>0.1</v>
      </c>
      <c r="M1188">
        <f t="shared" si="39"/>
        <v>7.8539816339744835E-3</v>
      </c>
    </row>
    <row r="1189" spans="1:16" x14ac:dyDescent="0.45">
      <c r="A1189" t="s">
        <v>125</v>
      </c>
      <c r="C1189" t="s">
        <v>126</v>
      </c>
      <c r="E1189" s="19">
        <v>45820</v>
      </c>
      <c r="H1189" t="s">
        <v>75</v>
      </c>
      <c r="I1189" t="s">
        <v>78</v>
      </c>
      <c r="K1189" t="s">
        <v>79</v>
      </c>
      <c r="L1189">
        <v>0.2</v>
      </c>
      <c r="M1189">
        <f t="shared" si="39"/>
        <v>3.1415926535897934E-2</v>
      </c>
    </row>
    <row r="1190" spans="1:16" x14ac:dyDescent="0.45">
      <c r="A1190" t="s">
        <v>125</v>
      </c>
      <c r="C1190" t="s">
        <v>126</v>
      </c>
      <c r="E1190" s="19">
        <v>45820</v>
      </c>
      <c r="H1190" t="s">
        <v>75</v>
      </c>
      <c r="I1190" t="s">
        <v>80</v>
      </c>
      <c r="K1190" t="s">
        <v>79</v>
      </c>
      <c r="L1190">
        <v>0.3</v>
      </c>
      <c r="M1190">
        <f t="shared" si="39"/>
        <v>7.0685834705770348E-2</v>
      </c>
    </row>
    <row r="1191" spans="1:16" x14ac:dyDescent="0.45">
      <c r="A1191" t="s">
        <v>125</v>
      </c>
      <c r="C1191" t="s">
        <v>126</v>
      </c>
      <c r="E1191" s="19">
        <v>45820</v>
      </c>
      <c r="H1191" t="s">
        <v>75</v>
      </c>
      <c r="I1191" t="s">
        <v>80</v>
      </c>
      <c r="K1191" t="s">
        <v>79</v>
      </c>
      <c r="L1191">
        <v>0.3</v>
      </c>
      <c r="M1191">
        <f t="shared" si="39"/>
        <v>7.0685834705770348E-2</v>
      </c>
    </row>
    <row r="1192" spans="1:16" x14ac:dyDescent="0.45">
      <c r="A1192" t="s">
        <v>125</v>
      </c>
      <c r="C1192" t="s">
        <v>126</v>
      </c>
      <c r="E1192" s="19">
        <v>45820</v>
      </c>
      <c r="H1192" t="s">
        <v>75</v>
      </c>
      <c r="I1192" t="s">
        <v>80</v>
      </c>
      <c r="K1192" t="s">
        <v>79</v>
      </c>
      <c r="L1192">
        <v>0.3</v>
      </c>
      <c r="M1192">
        <f t="shared" si="39"/>
        <v>7.0685834705770348E-2</v>
      </c>
    </row>
    <row r="1193" spans="1:16" x14ac:dyDescent="0.45">
      <c r="A1193" t="s">
        <v>125</v>
      </c>
      <c r="C1193" t="s">
        <v>126</v>
      </c>
      <c r="E1193" s="19">
        <v>45820</v>
      </c>
      <c r="H1193" t="s">
        <v>75</v>
      </c>
      <c r="I1193" t="s">
        <v>80</v>
      </c>
      <c r="K1193" t="s">
        <v>79</v>
      </c>
      <c r="L1193">
        <v>0.3</v>
      </c>
      <c r="M1193">
        <f t="shared" si="39"/>
        <v>7.0685834705770348E-2</v>
      </c>
    </row>
    <row r="1194" spans="1:16" x14ac:dyDescent="0.45">
      <c r="A1194" t="s">
        <v>125</v>
      </c>
      <c r="C1194" t="s">
        <v>126</v>
      </c>
      <c r="E1194" s="19">
        <v>45820</v>
      </c>
      <c r="H1194" t="s">
        <v>75</v>
      </c>
      <c r="I1194" t="s">
        <v>80</v>
      </c>
      <c r="K1194" t="s">
        <v>79</v>
      </c>
      <c r="L1194">
        <v>0.2</v>
      </c>
      <c r="M1194">
        <f t="shared" si="39"/>
        <v>3.1415926535897934E-2</v>
      </c>
    </row>
    <row r="1195" spans="1:16" x14ac:dyDescent="0.45">
      <c r="A1195" t="s">
        <v>125</v>
      </c>
      <c r="C1195" t="s">
        <v>126</v>
      </c>
      <c r="E1195" s="19">
        <v>45820</v>
      </c>
      <c r="H1195" t="s">
        <v>81</v>
      </c>
      <c r="I1195" t="s">
        <v>76</v>
      </c>
      <c r="K1195" t="s">
        <v>79</v>
      </c>
      <c r="L1195">
        <v>0.1</v>
      </c>
      <c r="M1195">
        <f t="shared" si="39"/>
        <v>7.8539816339744835E-3</v>
      </c>
    </row>
    <row r="1196" spans="1:16" x14ac:dyDescent="0.45">
      <c r="A1196" t="s">
        <v>125</v>
      </c>
      <c r="C1196" t="s">
        <v>126</v>
      </c>
      <c r="E1196" s="19">
        <v>45820</v>
      </c>
      <c r="H1196" t="s">
        <v>81</v>
      </c>
      <c r="I1196" t="s">
        <v>78</v>
      </c>
      <c r="K1196" t="s">
        <v>77</v>
      </c>
      <c r="L1196">
        <v>1.2</v>
      </c>
      <c r="M1196">
        <f t="shared" si="39"/>
        <v>0.7539822368615503</v>
      </c>
      <c r="P1196">
        <v>3</v>
      </c>
    </row>
    <row r="1197" spans="1:16" x14ac:dyDescent="0.45">
      <c r="A1197" t="s">
        <v>125</v>
      </c>
      <c r="C1197" t="s">
        <v>126</v>
      </c>
      <c r="E1197" s="19">
        <v>45820</v>
      </c>
      <c r="H1197" t="s">
        <v>81</v>
      </c>
      <c r="I1197" t="s">
        <v>78</v>
      </c>
      <c r="K1197" t="s">
        <v>79</v>
      </c>
      <c r="L1197">
        <v>0.2</v>
      </c>
      <c r="M1197">
        <f t="shared" si="39"/>
        <v>3.1415926535897934E-2</v>
      </c>
    </row>
    <row r="1198" spans="1:16" x14ac:dyDescent="0.45">
      <c r="A1198" t="s">
        <v>125</v>
      </c>
      <c r="C1198" t="s">
        <v>126</v>
      </c>
      <c r="E1198" s="19">
        <v>45820</v>
      </c>
      <c r="H1198" t="s">
        <v>81</v>
      </c>
      <c r="I1198" t="s">
        <v>78</v>
      </c>
      <c r="K1198" t="s">
        <v>79</v>
      </c>
      <c r="L1198">
        <v>0.2</v>
      </c>
      <c r="M1198">
        <f t="shared" si="39"/>
        <v>3.1415926535897934E-2</v>
      </c>
    </row>
    <row r="1199" spans="1:16" x14ac:dyDescent="0.45">
      <c r="A1199" t="s">
        <v>125</v>
      </c>
      <c r="C1199" t="s">
        <v>126</v>
      </c>
      <c r="E1199" s="19">
        <v>45820</v>
      </c>
      <c r="H1199" t="s">
        <v>81</v>
      </c>
      <c r="I1199" t="s">
        <v>78</v>
      </c>
      <c r="K1199" t="s">
        <v>79</v>
      </c>
      <c r="L1199">
        <v>0.2</v>
      </c>
      <c r="M1199">
        <f t="shared" si="39"/>
        <v>3.1415926535897934E-2</v>
      </c>
    </row>
    <row r="1200" spans="1:16" x14ac:dyDescent="0.45">
      <c r="A1200" t="s">
        <v>125</v>
      </c>
      <c r="C1200" t="s">
        <v>126</v>
      </c>
      <c r="E1200" s="19">
        <v>45820</v>
      </c>
      <c r="H1200" t="s">
        <v>81</v>
      </c>
      <c r="I1200" t="s">
        <v>78</v>
      </c>
      <c r="K1200" t="s">
        <v>79</v>
      </c>
      <c r="L1200">
        <v>0.2</v>
      </c>
      <c r="M1200">
        <f t="shared" si="39"/>
        <v>3.1415926535897934E-2</v>
      </c>
    </row>
    <row r="1201" spans="1:15" x14ac:dyDescent="0.45">
      <c r="A1201" t="s">
        <v>125</v>
      </c>
      <c r="C1201" t="s">
        <v>126</v>
      </c>
      <c r="E1201" s="19">
        <v>45820</v>
      </c>
      <c r="H1201" t="s">
        <v>81</v>
      </c>
      <c r="I1201" t="s">
        <v>78</v>
      </c>
      <c r="K1201" t="s">
        <v>79</v>
      </c>
      <c r="L1201">
        <v>0.2</v>
      </c>
      <c r="M1201">
        <f t="shared" si="39"/>
        <v>3.1415926535897934E-2</v>
      </c>
    </row>
    <row r="1202" spans="1:15" x14ac:dyDescent="0.45">
      <c r="A1202" t="s">
        <v>125</v>
      </c>
      <c r="C1202" t="s">
        <v>126</v>
      </c>
      <c r="E1202" s="19">
        <v>45820</v>
      </c>
      <c r="H1202" t="s">
        <v>81</v>
      </c>
      <c r="I1202" t="s">
        <v>78</v>
      </c>
      <c r="K1202" t="s">
        <v>79</v>
      </c>
      <c r="L1202">
        <v>0.2</v>
      </c>
      <c r="M1202">
        <f t="shared" si="39"/>
        <v>3.1415926535897934E-2</v>
      </c>
    </row>
    <row r="1203" spans="1:15" x14ac:dyDescent="0.45">
      <c r="A1203" t="s">
        <v>125</v>
      </c>
      <c r="C1203" t="s">
        <v>126</v>
      </c>
      <c r="E1203" s="19">
        <v>45820</v>
      </c>
      <c r="H1203" t="s">
        <v>81</v>
      </c>
      <c r="I1203" t="s">
        <v>78</v>
      </c>
      <c r="K1203" t="s">
        <v>79</v>
      </c>
      <c r="L1203">
        <v>0.1</v>
      </c>
      <c r="M1203">
        <f t="shared" si="39"/>
        <v>7.8539816339744835E-3</v>
      </c>
    </row>
    <row r="1204" spans="1:15" x14ac:dyDescent="0.45">
      <c r="A1204" t="s">
        <v>125</v>
      </c>
      <c r="C1204" t="s">
        <v>126</v>
      </c>
      <c r="E1204" s="19">
        <v>45820</v>
      </c>
      <c r="H1204" t="s">
        <v>81</v>
      </c>
      <c r="I1204" t="s">
        <v>78</v>
      </c>
      <c r="K1204" t="s">
        <v>79</v>
      </c>
      <c r="L1204">
        <v>0.1</v>
      </c>
      <c r="M1204">
        <f t="shared" si="39"/>
        <v>7.8539816339744835E-3</v>
      </c>
    </row>
    <row r="1205" spans="1:15" x14ac:dyDescent="0.45">
      <c r="A1205" t="s">
        <v>125</v>
      </c>
      <c r="C1205" t="s">
        <v>126</v>
      </c>
      <c r="E1205" s="19">
        <v>45820</v>
      </c>
      <c r="H1205" t="s">
        <v>81</v>
      </c>
      <c r="I1205" t="s">
        <v>78</v>
      </c>
      <c r="K1205" t="s">
        <v>79</v>
      </c>
      <c r="L1205">
        <v>0.1</v>
      </c>
      <c r="M1205">
        <f t="shared" si="39"/>
        <v>7.8539816339744835E-3</v>
      </c>
    </row>
    <row r="1206" spans="1:15" x14ac:dyDescent="0.45">
      <c r="A1206" t="s">
        <v>125</v>
      </c>
      <c r="C1206" t="s">
        <v>126</v>
      </c>
      <c r="E1206" s="19">
        <v>45820</v>
      </c>
      <c r="H1206" t="s">
        <v>81</v>
      </c>
      <c r="I1206" t="s">
        <v>78</v>
      </c>
      <c r="K1206" t="s">
        <v>79</v>
      </c>
      <c r="L1206">
        <v>0.1</v>
      </c>
      <c r="M1206">
        <f t="shared" si="39"/>
        <v>7.8539816339744835E-3</v>
      </c>
    </row>
    <row r="1207" spans="1:15" x14ac:dyDescent="0.45">
      <c r="A1207" t="s">
        <v>125</v>
      </c>
      <c r="C1207" t="s">
        <v>126</v>
      </c>
      <c r="E1207" s="19">
        <v>45820</v>
      </c>
      <c r="H1207" t="s">
        <v>81</v>
      </c>
      <c r="I1207" t="s">
        <v>80</v>
      </c>
      <c r="K1207" t="s">
        <v>79</v>
      </c>
      <c r="L1207">
        <v>1</v>
      </c>
      <c r="M1207">
        <f t="shared" si="39"/>
        <v>0.78539816339744828</v>
      </c>
    </row>
    <row r="1208" spans="1:15" x14ac:dyDescent="0.45">
      <c r="A1208" t="s">
        <v>125</v>
      </c>
      <c r="C1208" t="s">
        <v>126</v>
      </c>
      <c r="E1208" s="19">
        <v>45820</v>
      </c>
      <c r="H1208" t="s">
        <v>81</v>
      </c>
      <c r="I1208" t="s">
        <v>80</v>
      </c>
      <c r="K1208" t="s">
        <v>79</v>
      </c>
      <c r="L1208">
        <v>0.4</v>
      </c>
      <c r="M1208">
        <f t="shared" si="39"/>
        <v>0.12566370614359174</v>
      </c>
    </row>
    <row r="1209" spans="1:15" x14ac:dyDescent="0.45">
      <c r="A1209" t="s">
        <v>125</v>
      </c>
      <c r="C1209" t="s">
        <v>126</v>
      </c>
      <c r="E1209" s="19">
        <v>45820</v>
      </c>
      <c r="H1209" t="s">
        <v>81</v>
      </c>
      <c r="I1209" t="s">
        <v>80</v>
      </c>
      <c r="K1209" t="s">
        <v>79</v>
      </c>
      <c r="L1209">
        <v>0.2</v>
      </c>
      <c r="M1209">
        <f t="shared" si="39"/>
        <v>3.1415926535897934E-2</v>
      </c>
    </row>
    <row r="1210" spans="1:15" x14ac:dyDescent="0.45">
      <c r="A1210" t="s">
        <v>125</v>
      </c>
      <c r="C1210" t="s">
        <v>126</v>
      </c>
      <c r="E1210" s="19">
        <v>45820</v>
      </c>
      <c r="H1210" t="s">
        <v>81</v>
      </c>
      <c r="I1210" t="s">
        <v>80</v>
      </c>
      <c r="K1210" t="s">
        <v>79</v>
      </c>
      <c r="L1210">
        <v>0.2</v>
      </c>
      <c r="M1210">
        <f t="shared" si="39"/>
        <v>3.1415926535897934E-2</v>
      </c>
    </row>
    <row r="1211" spans="1:15" x14ac:dyDescent="0.45">
      <c r="A1211" t="s">
        <v>125</v>
      </c>
      <c r="C1211" t="s">
        <v>126</v>
      </c>
      <c r="E1211" s="19">
        <v>45820</v>
      </c>
      <c r="H1211" t="s">
        <v>81</v>
      </c>
      <c r="I1211" t="s">
        <v>80</v>
      </c>
      <c r="K1211" t="s">
        <v>79</v>
      </c>
      <c r="L1211">
        <v>0.4</v>
      </c>
      <c r="M1211">
        <f t="shared" si="39"/>
        <v>0.12566370614359174</v>
      </c>
    </row>
    <row r="1212" spans="1:15" x14ac:dyDescent="0.45">
      <c r="A1212" t="s">
        <v>127</v>
      </c>
      <c r="C1212" t="s">
        <v>128</v>
      </c>
      <c r="E1212" s="19">
        <v>45820</v>
      </c>
      <c r="H1212" t="s">
        <v>75</v>
      </c>
      <c r="I1212" t="s">
        <v>76</v>
      </c>
      <c r="K1212" t="s">
        <v>79</v>
      </c>
      <c r="L1212">
        <v>0.2</v>
      </c>
      <c r="M1212">
        <f t="shared" si="39"/>
        <v>3.1415926535897934E-2</v>
      </c>
      <c r="O1212">
        <v>10</v>
      </c>
    </row>
    <row r="1213" spans="1:15" x14ac:dyDescent="0.45">
      <c r="A1213" t="s">
        <v>127</v>
      </c>
      <c r="C1213" t="s">
        <v>128</v>
      </c>
      <c r="E1213" s="19">
        <v>45820</v>
      </c>
      <c r="H1213" t="s">
        <v>75</v>
      </c>
      <c r="I1213" t="s">
        <v>76</v>
      </c>
      <c r="K1213" t="s">
        <v>79</v>
      </c>
      <c r="L1213">
        <v>0.2</v>
      </c>
      <c r="M1213">
        <f t="shared" si="39"/>
        <v>3.1415926535897934E-2</v>
      </c>
    </row>
    <row r="1214" spans="1:15" x14ac:dyDescent="0.45">
      <c r="A1214" t="s">
        <v>127</v>
      </c>
      <c r="C1214" t="s">
        <v>128</v>
      </c>
      <c r="E1214" s="19">
        <v>45820</v>
      </c>
      <c r="H1214" t="s">
        <v>75</v>
      </c>
      <c r="I1214" t="s">
        <v>76</v>
      </c>
      <c r="K1214" t="s">
        <v>79</v>
      </c>
      <c r="L1214">
        <v>0.1</v>
      </c>
      <c r="M1214">
        <f t="shared" si="39"/>
        <v>7.8539816339744835E-3</v>
      </c>
    </row>
    <row r="1215" spans="1:15" x14ac:dyDescent="0.45">
      <c r="A1215" t="s">
        <v>127</v>
      </c>
      <c r="C1215" t="s">
        <v>128</v>
      </c>
      <c r="E1215" s="19">
        <v>45820</v>
      </c>
      <c r="H1215" t="s">
        <v>75</v>
      </c>
      <c r="I1215" t="s">
        <v>78</v>
      </c>
      <c r="K1215" t="s">
        <v>77</v>
      </c>
      <c r="L1215">
        <v>0.8</v>
      </c>
      <c r="M1215">
        <f t="shared" si="39"/>
        <v>0.33510321638291124</v>
      </c>
    </row>
    <row r="1216" spans="1:15" x14ac:dyDescent="0.45">
      <c r="A1216" t="s">
        <v>127</v>
      </c>
      <c r="C1216" t="s">
        <v>128</v>
      </c>
      <c r="E1216" s="19">
        <v>45820</v>
      </c>
      <c r="H1216" t="s">
        <v>75</v>
      </c>
      <c r="I1216" t="s">
        <v>78</v>
      </c>
      <c r="K1216" t="s">
        <v>77</v>
      </c>
      <c r="L1216">
        <v>0.3</v>
      </c>
      <c r="M1216">
        <f t="shared" si="39"/>
        <v>4.7123889803846894E-2</v>
      </c>
    </row>
    <row r="1217" spans="1:15" x14ac:dyDescent="0.45">
      <c r="A1217" t="s">
        <v>127</v>
      </c>
      <c r="C1217" t="s">
        <v>128</v>
      </c>
      <c r="E1217" s="19">
        <v>45820</v>
      </c>
      <c r="H1217" t="s">
        <v>75</v>
      </c>
      <c r="I1217" t="s">
        <v>78</v>
      </c>
      <c r="K1217" t="s">
        <v>77</v>
      </c>
      <c r="L1217">
        <v>2</v>
      </c>
      <c r="M1217">
        <f t="shared" si="39"/>
        <v>2.0943951023931953</v>
      </c>
    </row>
    <row r="1218" spans="1:15" x14ac:dyDescent="0.45">
      <c r="A1218" t="s">
        <v>127</v>
      </c>
      <c r="C1218" t="s">
        <v>128</v>
      </c>
      <c r="E1218" s="19">
        <v>45820</v>
      </c>
      <c r="H1218" t="s">
        <v>75</v>
      </c>
      <c r="I1218" t="s">
        <v>78</v>
      </c>
      <c r="K1218" t="s">
        <v>77</v>
      </c>
      <c r="L1218">
        <v>0.7</v>
      </c>
      <c r="M1218">
        <f t="shared" si="39"/>
        <v>0.25656340004316641</v>
      </c>
    </row>
    <row r="1219" spans="1:15" x14ac:dyDescent="0.45">
      <c r="A1219" t="s">
        <v>127</v>
      </c>
      <c r="C1219" t="s">
        <v>128</v>
      </c>
      <c r="E1219" s="19">
        <v>45820</v>
      </c>
      <c r="H1219" t="s">
        <v>75</v>
      </c>
      <c r="I1219" t="s">
        <v>78</v>
      </c>
      <c r="K1219" t="s">
        <v>77</v>
      </c>
      <c r="L1219">
        <v>0.3</v>
      </c>
      <c r="M1219">
        <f t="shared" si="39"/>
        <v>4.7123889803846894E-2</v>
      </c>
    </row>
    <row r="1220" spans="1:15" x14ac:dyDescent="0.45">
      <c r="A1220" t="s">
        <v>127</v>
      </c>
      <c r="C1220" t="s">
        <v>128</v>
      </c>
      <c r="E1220" s="19">
        <v>45820</v>
      </c>
      <c r="H1220" t="s">
        <v>75</v>
      </c>
      <c r="I1220" t="s">
        <v>78</v>
      </c>
      <c r="K1220" t="s">
        <v>79</v>
      </c>
      <c r="L1220">
        <v>1.5</v>
      </c>
      <c r="M1220">
        <f t="shared" si="39"/>
        <v>1.7671458676442586</v>
      </c>
    </row>
    <row r="1221" spans="1:15" x14ac:dyDescent="0.45">
      <c r="A1221" t="s">
        <v>127</v>
      </c>
      <c r="C1221" t="s">
        <v>128</v>
      </c>
      <c r="E1221" s="19">
        <v>45820</v>
      </c>
      <c r="H1221" t="s">
        <v>75</v>
      </c>
      <c r="I1221" t="s">
        <v>80</v>
      </c>
      <c r="K1221" t="s">
        <v>77</v>
      </c>
      <c r="L1221">
        <v>0.7</v>
      </c>
      <c r="M1221">
        <f t="shared" si="39"/>
        <v>0.25656340004316641</v>
      </c>
    </row>
    <row r="1222" spans="1:15" x14ac:dyDescent="0.45">
      <c r="A1222" t="s">
        <v>127</v>
      </c>
      <c r="C1222" t="s">
        <v>128</v>
      </c>
      <c r="E1222" s="19">
        <v>45820</v>
      </c>
      <c r="H1222" t="s">
        <v>75</v>
      </c>
      <c r="I1222" t="s">
        <v>80</v>
      </c>
      <c r="K1222" t="s">
        <v>79</v>
      </c>
      <c r="L1222">
        <v>0.2</v>
      </c>
      <c r="M1222">
        <f t="shared" si="39"/>
        <v>3.1415926535897934E-2</v>
      </c>
    </row>
    <row r="1223" spans="1:15" x14ac:dyDescent="0.45">
      <c r="A1223" t="s">
        <v>127</v>
      </c>
      <c r="C1223" t="s">
        <v>128</v>
      </c>
      <c r="E1223" s="19">
        <v>45820</v>
      </c>
      <c r="H1223" t="s">
        <v>81</v>
      </c>
      <c r="I1223" t="s">
        <v>76</v>
      </c>
      <c r="M1223" t="str">
        <f t="shared" si="39"/>
        <v/>
      </c>
    </row>
    <row r="1224" spans="1:15" x14ac:dyDescent="0.45">
      <c r="A1224" t="s">
        <v>127</v>
      </c>
      <c r="C1224" t="s">
        <v>128</v>
      </c>
      <c r="E1224" s="19">
        <v>45820</v>
      </c>
      <c r="H1224" t="s">
        <v>81</v>
      </c>
      <c r="I1224" t="s">
        <v>78</v>
      </c>
      <c r="K1224" t="s">
        <v>77</v>
      </c>
      <c r="L1224">
        <v>1</v>
      </c>
      <c r="M1224">
        <f t="shared" si="39"/>
        <v>0.52359877559829882</v>
      </c>
      <c r="O1224">
        <v>4</v>
      </c>
    </row>
    <row r="1225" spans="1:15" x14ac:dyDescent="0.45">
      <c r="A1225" t="s">
        <v>127</v>
      </c>
      <c r="C1225" t="s">
        <v>128</v>
      </c>
      <c r="E1225" s="19">
        <v>45820</v>
      </c>
      <c r="H1225" t="s">
        <v>81</v>
      </c>
      <c r="I1225" t="s">
        <v>78</v>
      </c>
      <c r="K1225" t="s">
        <v>77</v>
      </c>
      <c r="L1225">
        <v>1</v>
      </c>
      <c r="M1225">
        <f t="shared" si="39"/>
        <v>0.52359877559829882</v>
      </c>
    </row>
    <row r="1226" spans="1:15" x14ac:dyDescent="0.45">
      <c r="A1226" t="s">
        <v>127</v>
      </c>
      <c r="C1226" t="s">
        <v>128</v>
      </c>
      <c r="E1226" s="19">
        <v>45820</v>
      </c>
      <c r="H1226" t="s">
        <v>81</v>
      </c>
      <c r="I1226" t="s">
        <v>78</v>
      </c>
      <c r="K1226" t="s">
        <v>77</v>
      </c>
      <c r="L1226">
        <v>0.6</v>
      </c>
      <c r="M1226">
        <f t="shared" si="39"/>
        <v>0.18849555921538758</v>
      </c>
    </row>
    <row r="1227" spans="1:15" x14ac:dyDescent="0.45">
      <c r="A1227" t="s">
        <v>127</v>
      </c>
      <c r="C1227" t="s">
        <v>128</v>
      </c>
      <c r="E1227" s="19">
        <v>45820</v>
      </c>
      <c r="H1227" t="s">
        <v>81</v>
      </c>
      <c r="I1227" t="s">
        <v>78</v>
      </c>
      <c r="K1227" t="s">
        <v>77</v>
      </c>
      <c r="L1227">
        <v>0.6</v>
      </c>
      <c r="M1227">
        <f t="shared" si="39"/>
        <v>0.18849555921538758</v>
      </c>
    </row>
    <row r="1228" spans="1:15" x14ac:dyDescent="0.45">
      <c r="A1228" t="s">
        <v>127</v>
      </c>
      <c r="C1228" t="s">
        <v>128</v>
      </c>
      <c r="E1228" s="19">
        <v>45820</v>
      </c>
      <c r="H1228" t="s">
        <v>81</v>
      </c>
      <c r="I1228" t="s">
        <v>78</v>
      </c>
      <c r="K1228" t="s">
        <v>79</v>
      </c>
      <c r="L1228">
        <v>0.4</v>
      </c>
      <c r="M1228">
        <f t="shared" si="39"/>
        <v>0.12566370614359174</v>
      </c>
    </row>
    <row r="1229" spans="1:15" x14ac:dyDescent="0.45">
      <c r="A1229" t="s">
        <v>127</v>
      </c>
      <c r="C1229" t="s">
        <v>128</v>
      </c>
      <c r="E1229" s="19">
        <v>45820</v>
      </c>
      <c r="H1229" t="s">
        <v>81</v>
      </c>
      <c r="I1229" t="s">
        <v>78</v>
      </c>
      <c r="K1229" t="s">
        <v>79</v>
      </c>
      <c r="L1229">
        <v>0.3</v>
      </c>
      <c r="M1229">
        <f t="shared" ref="M1229:M1292" si="40">IF(OR(L1229="na", L1229=""), "", IF(K1229="mm", PI()*(L1229/2)^2, IF(K1229="ep", PI()*(L1229/2)*(L1229*(2/3)/2), "")))</f>
        <v>7.0685834705770348E-2</v>
      </c>
    </row>
    <row r="1230" spans="1:15" x14ac:dyDescent="0.45">
      <c r="A1230" t="s">
        <v>127</v>
      </c>
      <c r="C1230" t="s">
        <v>128</v>
      </c>
      <c r="E1230" s="19">
        <v>45820</v>
      </c>
      <c r="H1230" t="s">
        <v>81</v>
      </c>
      <c r="I1230" t="s">
        <v>78</v>
      </c>
      <c r="K1230" t="s">
        <v>79</v>
      </c>
      <c r="L1230">
        <v>0.2</v>
      </c>
      <c r="M1230">
        <f t="shared" si="40"/>
        <v>3.1415926535897934E-2</v>
      </c>
    </row>
    <row r="1231" spans="1:15" x14ac:dyDescent="0.45">
      <c r="A1231" t="s">
        <v>127</v>
      </c>
      <c r="C1231" t="s">
        <v>128</v>
      </c>
      <c r="E1231" s="19">
        <v>45820</v>
      </c>
      <c r="H1231" t="s">
        <v>81</v>
      </c>
      <c r="I1231" t="s">
        <v>78</v>
      </c>
      <c r="K1231" t="s">
        <v>79</v>
      </c>
      <c r="L1231">
        <v>0.1</v>
      </c>
      <c r="M1231">
        <f t="shared" si="40"/>
        <v>7.8539816339744835E-3</v>
      </c>
    </row>
    <row r="1232" spans="1:15" x14ac:dyDescent="0.45">
      <c r="A1232" t="s">
        <v>127</v>
      </c>
      <c r="C1232" t="s">
        <v>128</v>
      </c>
      <c r="E1232" s="19">
        <v>45820</v>
      </c>
      <c r="H1232" t="s">
        <v>81</v>
      </c>
      <c r="I1232" t="s">
        <v>80</v>
      </c>
      <c r="K1232" t="s">
        <v>79</v>
      </c>
      <c r="L1232">
        <v>0.2</v>
      </c>
      <c r="M1232">
        <f t="shared" si="40"/>
        <v>3.1415926535897934E-2</v>
      </c>
      <c r="N1232">
        <v>4</v>
      </c>
    </row>
    <row r="1233" spans="1:15" x14ac:dyDescent="0.45">
      <c r="A1233" t="s">
        <v>129</v>
      </c>
      <c r="C1233" t="s">
        <v>130</v>
      </c>
      <c r="E1233" s="19">
        <v>45820</v>
      </c>
      <c r="H1233" t="s">
        <v>75</v>
      </c>
      <c r="I1233" t="s">
        <v>76</v>
      </c>
      <c r="M1233" t="str">
        <f t="shared" si="40"/>
        <v/>
      </c>
    </row>
    <row r="1234" spans="1:15" x14ac:dyDescent="0.45">
      <c r="A1234" t="s">
        <v>129</v>
      </c>
      <c r="C1234" t="s">
        <v>130</v>
      </c>
      <c r="E1234" s="19">
        <v>45820</v>
      </c>
      <c r="H1234" t="s">
        <v>75</v>
      </c>
      <c r="I1234" t="s">
        <v>78</v>
      </c>
      <c r="K1234" t="s">
        <v>79</v>
      </c>
      <c r="L1234">
        <v>0.2</v>
      </c>
      <c r="M1234">
        <f t="shared" si="40"/>
        <v>3.1415926535897934E-2</v>
      </c>
      <c r="O1234">
        <v>1</v>
      </c>
    </row>
    <row r="1235" spans="1:15" x14ac:dyDescent="0.45">
      <c r="A1235" t="s">
        <v>129</v>
      </c>
      <c r="C1235" t="s">
        <v>130</v>
      </c>
      <c r="E1235" s="19">
        <v>45820</v>
      </c>
      <c r="H1235" t="s">
        <v>75</v>
      </c>
      <c r="I1235" t="s">
        <v>80</v>
      </c>
      <c r="K1235" t="s">
        <v>79</v>
      </c>
      <c r="L1235">
        <v>0.5</v>
      </c>
      <c r="M1235">
        <f t="shared" si="40"/>
        <v>0.19634954084936207</v>
      </c>
    </row>
    <row r="1236" spans="1:15" x14ac:dyDescent="0.45">
      <c r="A1236" t="s">
        <v>129</v>
      </c>
      <c r="C1236" t="s">
        <v>130</v>
      </c>
      <c r="E1236" s="19">
        <v>45820</v>
      </c>
      <c r="H1236" t="s">
        <v>75</v>
      </c>
      <c r="I1236" t="s">
        <v>80</v>
      </c>
      <c r="K1236" t="s">
        <v>79</v>
      </c>
      <c r="L1236">
        <v>0.3</v>
      </c>
      <c r="M1236">
        <f t="shared" si="40"/>
        <v>7.0685834705770348E-2</v>
      </c>
    </row>
    <row r="1237" spans="1:15" x14ac:dyDescent="0.45">
      <c r="A1237" t="s">
        <v>129</v>
      </c>
      <c r="C1237" t="s">
        <v>130</v>
      </c>
      <c r="E1237" s="19">
        <v>45820</v>
      </c>
      <c r="H1237" t="s">
        <v>75</v>
      </c>
      <c r="I1237" t="s">
        <v>80</v>
      </c>
      <c r="K1237" t="s">
        <v>79</v>
      </c>
      <c r="L1237">
        <v>0.4</v>
      </c>
      <c r="M1237">
        <f t="shared" si="40"/>
        <v>0.12566370614359174</v>
      </c>
    </row>
    <row r="1238" spans="1:15" x14ac:dyDescent="0.45">
      <c r="A1238" t="s">
        <v>129</v>
      </c>
      <c r="C1238" t="s">
        <v>130</v>
      </c>
      <c r="E1238" s="19">
        <v>45820</v>
      </c>
      <c r="H1238" t="s">
        <v>81</v>
      </c>
      <c r="I1238" t="s">
        <v>76</v>
      </c>
      <c r="M1238" t="str">
        <f t="shared" si="40"/>
        <v/>
      </c>
    </row>
    <row r="1239" spans="1:15" x14ac:dyDescent="0.45">
      <c r="A1239" t="s">
        <v>129</v>
      </c>
      <c r="C1239" t="s">
        <v>130</v>
      </c>
      <c r="E1239" s="19">
        <v>45820</v>
      </c>
      <c r="H1239" t="s">
        <v>81</v>
      </c>
      <c r="I1239" t="s">
        <v>78</v>
      </c>
      <c r="M1239" t="str">
        <f t="shared" si="40"/>
        <v/>
      </c>
      <c r="O1239">
        <v>5</v>
      </c>
    </row>
    <row r="1240" spans="1:15" x14ac:dyDescent="0.45">
      <c r="A1240" t="s">
        <v>129</v>
      </c>
      <c r="C1240" t="s">
        <v>130</v>
      </c>
      <c r="E1240" s="19">
        <v>45820</v>
      </c>
      <c r="H1240" t="s">
        <v>81</v>
      </c>
      <c r="I1240" t="s">
        <v>80</v>
      </c>
      <c r="K1240" t="s">
        <v>77</v>
      </c>
      <c r="L1240">
        <v>0.1</v>
      </c>
      <c r="M1240">
        <f t="shared" si="40"/>
        <v>5.2359877559829881E-3</v>
      </c>
      <c r="N1240">
        <v>1</v>
      </c>
    </row>
    <row r="1241" spans="1:15" x14ac:dyDescent="0.45">
      <c r="A1241" t="s">
        <v>131</v>
      </c>
      <c r="C1241" t="s">
        <v>132</v>
      </c>
      <c r="E1241" s="19">
        <v>45820</v>
      </c>
      <c r="H1241" t="s">
        <v>75</v>
      </c>
      <c r="I1241" t="s">
        <v>76</v>
      </c>
      <c r="K1241" t="s">
        <v>79</v>
      </c>
      <c r="L1241">
        <v>0.2</v>
      </c>
      <c r="M1241">
        <f t="shared" si="40"/>
        <v>3.1415926535897934E-2</v>
      </c>
      <c r="O1241">
        <v>2</v>
      </c>
    </row>
    <row r="1242" spans="1:15" x14ac:dyDescent="0.45">
      <c r="A1242" t="s">
        <v>131</v>
      </c>
      <c r="C1242" t="s">
        <v>132</v>
      </c>
      <c r="E1242" s="19">
        <v>45820</v>
      </c>
      <c r="H1242" t="s">
        <v>75</v>
      </c>
      <c r="I1242" t="s">
        <v>76</v>
      </c>
      <c r="K1242" t="s">
        <v>79</v>
      </c>
      <c r="L1242">
        <v>0.1</v>
      </c>
      <c r="M1242">
        <f t="shared" si="40"/>
        <v>7.8539816339744835E-3</v>
      </c>
    </row>
    <row r="1243" spans="1:15" x14ac:dyDescent="0.45">
      <c r="A1243" t="s">
        <v>131</v>
      </c>
      <c r="C1243" t="s">
        <v>132</v>
      </c>
      <c r="E1243" s="19">
        <v>45820</v>
      </c>
      <c r="H1243" t="s">
        <v>75</v>
      </c>
      <c r="I1243" t="s">
        <v>76</v>
      </c>
      <c r="K1243" t="s">
        <v>79</v>
      </c>
      <c r="L1243">
        <v>0.1</v>
      </c>
      <c r="M1243">
        <f t="shared" si="40"/>
        <v>7.8539816339744835E-3</v>
      </c>
    </row>
    <row r="1244" spans="1:15" x14ac:dyDescent="0.45">
      <c r="A1244" t="s">
        <v>131</v>
      </c>
      <c r="C1244" t="s">
        <v>132</v>
      </c>
      <c r="E1244" s="19">
        <v>45820</v>
      </c>
      <c r="H1244" t="s">
        <v>75</v>
      </c>
      <c r="I1244" t="s">
        <v>78</v>
      </c>
      <c r="K1244" t="s">
        <v>77</v>
      </c>
      <c r="L1244">
        <v>0.7</v>
      </c>
      <c r="M1244">
        <f t="shared" si="40"/>
        <v>0.25656340004316641</v>
      </c>
      <c r="N1244">
        <v>16</v>
      </c>
    </row>
    <row r="1245" spans="1:15" x14ac:dyDescent="0.45">
      <c r="A1245" t="s">
        <v>131</v>
      </c>
      <c r="C1245" t="s">
        <v>132</v>
      </c>
      <c r="E1245" s="19">
        <v>45820</v>
      </c>
      <c r="H1245" t="s">
        <v>75</v>
      </c>
      <c r="I1245" t="s">
        <v>78</v>
      </c>
      <c r="K1245" t="s">
        <v>79</v>
      </c>
      <c r="L1245">
        <v>0.2</v>
      </c>
      <c r="M1245">
        <f t="shared" si="40"/>
        <v>3.1415926535897934E-2</v>
      </c>
    </row>
    <row r="1246" spans="1:15" x14ac:dyDescent="0.45">
      <c r="A1246" t="s">
        <v>131</v>
      </c>
      <c r="C1246" t="s">
        <v>132</v>
      </c>
      <c r="E1246" s="19">
        <v>45820</v>
      </c>
      <c r="H1246" t="s">
        <v>75</v>
      </c>
      <c r="I1246" t="s">
        <v>78</v>
      </c>
      <c r="K1246" t="s">
        <v>79</v>
      </c>
      <c r="L1246">
        <v>0.2</v>
      </c>
      <c r="M1246">
        <f t="shared" si="40"/>
        <v>3.1415926535897934E-2</v>
      </c>
    </row>
    <row r="1247" spans="1:15" x14ac:dyDescent="0.45">
      <c r="A1247" t="s">
        <v>131</v>
      </c>
      <c r="C1247" t="s">
        <v>132</v>
      </c>
      <c r="E1247" s="19">
        <v>45820</v>
      </c>
      <c r="H1247" t="s">
        <v>75</v>
      </c>
      <c r="I1247" t="s">
        <v>78</v>
      </c>
      <c r="K1247" t="s">
        <v>79</v>
      </c>
      <c r="L1247">
        <v>0.1</v>
      </c>
      <c r="M1247">
        <f t="shared" si="40"/>
        <v>7.8539816339744835E-3</v>
      </c>
    </row>
    <row r="1248" spans="1:15" x14ac:dyDescent="0.45">
      <c r="A1248" t="s">
        <v>131</v>
      </c>
      <c r="C1248" t="s">
        <v>132</v>
      </c>
      <c r="E1248" s="19">
        <v>45820</v>
      </c>
      <c r="H1248" t="s">
        <v>75</v>
      </c>
      <c r="I1248" t="s">
        <v>80</v>
      </c>
      <c r="K1248" t="s">
        <v>79</v>
      </c>
      <c r="L1248">
        <v>0.5</v>
      </c>
      <c r="M1248">
        <f t="shared" si="40"/>
        <v>0.19634954084936207</v>
      </c>
    </row>
    <row r="1249" spans="1:15" x14ac:dyDescent="0.45">
      <c r="A1249" t="s">
        <v>131</v>
      </c>
      <c r="C1249" t="s">
        <v>132</v>
      </c>
      <c r="E1249" s="19">
        <v>45820</v>
      </c>
      <c r="H1249" t="s">
        <v>75</v>
      </c>
      <c r="I1249" t="s">
        <v>80</v>
      </c>
      <c r="K1249" t="s">
        <v>79</v>
      </c>
      <c r="L1249">
        <v>0.3</v>
      </c>
      <c r="M1249">
        <f t="shared" si="40"/>
        <v>7.0685834705770348E-2</v>
      </c>
    </row>
    <row r="1250" spans="1:15" x14ac:dyDescent="0.45">
      <c r="A1250" t="s">
        <v>131</v>
      </c>
      <c r="C1250" t="s">
        <v>132</v>
      </c>
      <c r="E1250" s="19">
        <v>45820</v>
      </c>
      <c r="H1250" t="s">
        <v>75</v>
      </c>
      <c r="I1250" t="s">
        <v>80</v>
      </c>
      <c r="K1250" t="s">
        <v>79</v>
      </c>
      <c r="L1250">
        <v>0.4</v>
      </c>
      <c r="M1250">
        <f t="shared" si="40"/>
        <v>0.12566370614359174</v>
      </c>
    </row>
    <row r="1251" spans="1:15" x14ac:dyDescent="0.45">
      <c r="A1251" t="s">
        <v>131</v>
      </c>
      <c r="C1251" t="s">
        <v>132</v>
      </c>
      <c r="E1251" s="19">
        <v>45820</v>
      </c>
      <c r="H1251" t="s">
        <v>75</v>
      </c>
      <c r="I1251" t="s">
        <v>80</v>
      </c>
      <c r="K1251" t="s">
        <v>79</v>
      </c>
      <c r="L1251">
        <v>0.3</v>
      </c>
      <c r="M1251">
        <f t="shared" si="40"/>
        <v>7.0685834705770348E-2</v>
      </c>
    </row>
    <row r="1252" spans="1:15" x14ac:dyDescent="0.45">
      <c r="A1252" t="s">
        <v>131</v>
      </c>
      <c r="C1252" t="s">
        <v>132</v>
      </c>
      <c r="E1252" s="19">
        <v>45820</v>
      </c>
      <c r="H1252" t="s">
        <v>75</v>
      </c>
      <c r="I1252" t="s">
        <v>80</v>
      </c>
      <c r="K1252" t="s">
        <v>79</v>
      </c>
      <c r="L1252">
        <v>0.3</v>
      </c>
      <c r="M1252">
        <f t="shared" si="40"/>
        <v>7.0685834705770348E-2</v>
      </c>
    </row>
    <row r="1253" spans="1:15" x14ac:dyDescent="0.45">
      <c r="A1253" t="s">
        <v>131</v>
      </c>
      <c r="C1253" t="s">
        <v>132</v>
      </c>
      <c r="E1253" s="19">
        <v>45820</v>
      </c>
      <c r="H1253" t="s">
        <v>75</v>
      </c>
      <c r="I1253" t="s">
        <v>80</v>
      </c>
      <c r="K1253" t="s">
        <v>79</v>
      </c>
      <c r="L1253">
        <v>0.4</v>
      </c>
      <c r="M1253">
        <f t="shared" si="40"/>
        <v>0.12566370614359174</v>
      </c>
    </row>
    <row r="1254" spans="1:15" x14ac:dyDescent="0.45">
      <c r="A1254" t="s">
        <v>131</v>
      </c>
      <c r="C1254" t="s">
        <v>132</v>
      </c>
      <c r="E1254" s="19">
        <v>45820</v>
      </c>
      <c r="H1254" t="s">
        <v>75</v>
      </c>
      <c r="I1254" t="s">
        <v>80</v>
      </c>
      <c r="K1254" t="s">
        <v>77</v>
      </c>
      <c r="L1254">
        <v>1.2</v>
      </c>
      <c r="M1254">
        <f t="shared" si="40"/>
        <v>0.7539822368615503</v>
      </c>
    </row>
    <row r="1255" spans="1:15" x14ac:dyDescent="0.45">
      <c r="A1255" t="s">
        <v>131</v>
      </c>
      <c r="C1255" t="s">
        <v>132</v>
      </c>
      <c r="E1255" s="19">
        <v>45820</v>
      </c>
      <c r="H1255" t="s">
        <v>81</v>
      </c>
      <c r="I1255" t="s">
        <v>76</v>
      </c>
      <c r="K1255" t="s">
        <v>77</v>
      </c>
      <c r="L1255">
        <v>0.4</v>
      </c>
      <c r="M1255">
        <f t="shared" si="40"/>
        <v>8.377580409572781E-2</v>
      </c>
      <c r="O1255">
        <v>1</v>
      </c>
    </row>
    <row r="1256" spans="1:15" x14ac:dyDescent="0.45">
      <c r="A1256" t="s">
        <v>131</v>
      </c>
      <c r="C1256" t="s">
        <v>132</v>
      </c>
      <c r="E1256" s="19">
        <v>45820</v>
      </c>
      <c r="H1256" t="s">
        <v>81</v>
      </c>
      <c r="I1256" t="s">
        <v>76</v>
      </c>
      <c r="K1256" t="s">
        <v>77</v>
      </c>
      <c r="L1256">
        <v>0.5</v>
      </c>
      <c r="M1256">
        <f t="shared" si="40"/>
        <v>0.1308996938995747</v>
      </c>
    </row>
    <row r="1257" spans="1:15" x14ac:dyDescent="0.45">
      <c r="A1257" t="s">
        <v>131</v>
      </c>
      <c r="C1257" t="s">
        <v>132</v>
      </c>
      <c r="E1257" s="19">
        <v>45820</v>
      </c>
      <c r="H1257" t="s">
        <v>81</v>
      </c>
      <c r="I1257" t="s">
        <v>78</v>
      </c>
      <c r="K1257" t="s">
        <v>79</v>
      </c>
      <c r="L1257">
        <v>0.6</v>
      </c>
      <c r="M1257">
        <f t="shared" si="40"/>
        <v>0.28274333882308139</v>
      </c>
      <c r="N1257">
        <v>5</v>
      </c>
      <c r="O1257">
        <v>4</v>
      </c>
    </row>
    <row r="1258" spans="1:15" x14ac:dyDescent="0.45">
      <c r="A1258" t="s">
        <v>131</v>
      </c>
      <c r="C1258" t="s">
        <v>132</v>
      </c>
      <c r="E1258" s="19">
        <v>45820</v>
      </c>
      <c r="H1258" t="s">
        <v>81</v>
      </c>
      <c r="I1258" t="s">
        <v>80</v>
      </c>
      <c r="K1258" t="s">
        <v>79</v>
      </c>
      <c r="L1258">
        <v>0.5</v>
      </c>
      <c r="M1258">
        <f t="shared" si="40"/>
        <v>0.19634954084936207</v>
      </c>
      <c r="N1258">
        <v>1</v>
      </c>
      <c r="O1258">
        <v>1</v>
      </c>
    </row>
    <row r="1259" spans="1:15" x14ac:dyDescent="0.45">
      <c r="A1259" t="s">
        <v>131</v>
      </c>
      <c r="C1259" t="s">
        <v>132</v>
      </c>
      <c r="E1259" s="19">
        <v>45820</v>
      </c>
      <c r="H1259" t="s">
        <v>81</v>
      </c>
      <c r="I1259" t="s">
        <v>80</v>
      </c>
      <c r="K1259" t="s">
        <v>77</v>
      </c>
      <c r="L1259">
        <v>0.3</v>
      </c>
      <c r="M1259">
        <f t="shared" si="40"/>
        <v>4.7123889803846894E-2</v>
      </c>
    </row>
    <row r="1260" spans="1:15" x14ac:dyDescent="0.45">
      <c r="B1260" t="s">
        <v>103</v>
      </c>
      <c r="C1260" t="str">
        <f t="shared" ref="C1260:C1323" si="41">"YO" &amp; TEXT(D1260, "00")</f>
        <v>YO23</v>
      </c>
      <c r="D1260">
        <v>23</v>
      </c>
      <c r="E1260" s="19">
        <v>45820</v>
      </c>
      <c r="F1260">
        <v>32</v>
      </c>
      <c r="J1260">
        <v>1</v>
      </c>
      <c r="M1260" t="str">
        <f t="shared" si="40"/>
        <v/>
      </c>
      <c r="N1260">
        <v>12</v>
      </c>
      <c r="O1260">
        <v>6</v>
      </c>
    </row>
    <row r="1261" spans="1:15" x14ac:dyDescent="0.45">
      <c r="B1261" t="s">
        <v>103</v>
      </c>
      <c r="C1261" t="str">
        <f t="shared" si="41"/>
        <v>YO23</v>
      </c>
      <c r="D1261">
        <v>23</v>
      </c>
      <c r="E1261" s="19">
        <v>45820</v>
      </c>
      <c r="F1261">
        <v>32</v>
      </c>
      <c r="J1261">
        <v>1</v>
      </c>
      <c r="M1261" t="str">
        <f t="shared" si="40"/>
        <v/>
      </c>
    </row>
    <row r="1262" spans="1:15" x14ac:dyDescent="0.45">
      <c r="B1262" t="s">
        <v>103</v>
      </c>
      <c r="C1262" t="str">
        <f t="shared" si="41"/>
        <v>YO23</v>
      </c>
      <c r="D1262">
        <v>23</v>
      </c>
      <c r="E1262" s="19">
        <v>45820</v>
      </c>
      <c r="F1262">
        <v>32</v>
      </c>
      <c r="J1262">
        <v>1</v>
      </c>
      <c r="M1262" t="str">
        <f t="shared" si="40"/>
        <v/>
      </c>
    </row>
    <row r="1263" spans="1:15" x14ac:dyDescent="0.45">
      <c r="B1263" t="s">
        <v>103</v>
      </c>
      <c r="C1263" t="str">
        <f t="shared" si="41"/>
        <v>YO19</v>
      </c>
      <c r="D1263">
        <v>19</v>
      </c>
      <c r="E1263" s="19">
        <v>45820</v>
      </c>
      <c r="F1263">
        <v>40</v>
      </c>
      <c r="J1263">
        <v>1</v>
      </c>
      <c r="K1263" t="s">
        <v>79</v>
      </c>
      <c r="L1263">
        <v>0.3</v>
      </c>
      <c r="M1263">
        <f t="shared" si="40"/>
        <v>7.0685834705770348E-2</v>
      </c>
      <c r="N1263">
        <v>5</v>
      </c>
    </row>
    <row r="1264" spans="1:15" x14ac:dyDescent="0.45">
      <c r="B1264" t="s">
        <v>103</v>
      </c>
      <c r="C1264" t="str">
        <f t="shared" si="41"/>
        <v>YO19</v>
      </c>
      <c r="D1264">
        <v>19</v>
      </c>
      <c r="E1264" s="19">
        <v>45820</v>
      </c>
      <c r="F1264">
        <v>40</v>
      </c>
      <c r="J1264">
        <v>2</v>
      </c>
      <c r="M1264" t="str">
        <f t="shared" si="40"/>
        <v/>
      </c>
      <c r="N1264">
        <v>2</v>
      </c>
    </row>
    <row r="1265" spans="2:15" x14ac:dyDescent="0.45">
      <c r="B1265" t="s">
        <v>103</v>
      </c>
      <c r="C1265" t="str">
        <f t="shared" si="41"/>
        <v>YO19</v>
      </c>
      <c r="D1265">
        <v>19</v>
      </c>
      <c r="E1265" s="19">
        <v>45820</v>
      </c>
      <c r="F1265">
        <v>20</v>
      </c>
      <c r="J1265">
        <v>3</v>
      </c>
      <c r="M1265" t="str">
        <f t="shared" si="40"/>
        <v/>
      </c>
      <c r="O1265">
        <v>4</v>
      </c>
    </row>
    <row r="1266" spans="2:15" x14ac:dyDescent="0.45">
      <c r="B1266" t="s">
        <v>103</v>
      </c>
      <c r="C1266" t="str">
        <f t="shared" si="41"/>
        <v>YO19</v>
      </c>
      <c r="D1266">
        <v>19</v>
      </c>
      <c r="E1266" s="19">
        <v>45820</v>
      </c>
      <c r="F1266">
        <v>20</v>
      </c>
      <c r="J1266">
        <v>4</v>
      </c>
      <c r="K1266" t="s">
        <v>77</v>
      </c>
      <c r="L1266">
        <v>2.5</v>
      </c>
      <c r="M1266">
        <f t="shared" si="40"/>
        <v>3.2724923474893677</v>
      </c>
    </row>
    <row r="1267" spans="2:15" x14ac:dyDescent="0.45">
      <c r="B1267" t="s">
        <v>103</v>
      </c>
      <c r="C1267" t="str">
        <f t="shared" si="41"/>
        <v>YO25</v>
      </c>
      <c r="D1267">
        <v>25</v>
      </c>
      <c r="E1267" s="19">
        <v>45820</v>
      </c>
      <c r="F1267">
        <v>80</v>
      </c>
      <c r="J1267">
        <v>1</v>
      </c>
      <c r="K1267" t="s">
        <v>77</v>
      </c>
      <c r="L1267">
        <v>1</v>
      </c>
      <c r="M1267">
        <f t="shared" si="40"/>
        <v>0.52359877559829882</v>
      </c>
      <c r="O1267">
        <v>1</v>
      </c>
    </row>
    <row r="1268" spans="2:15" x14ac:dyDescent="0.45">
      <c r="B1268" t="s">
        <v>103</v>
      </c>
      <c r="C1268" t="str">
        <f t="shared" si="41"/>
        <v>YO25</v>
      </c>
      <c r="D1268">
        <v>25</v>
      </c>
      <c r="E1268" s="19">
        <v>45820</v>
      </c>
      <c r="F1268">
        <v>50</v>
      </c>
      <c r="J1268">
        <v>2</v>
      </c>
      <c r="M1268" t="str">
        <f t="shared" si="40"/>
        <v/>
      </c>
      <c r="N1268">
        <v>2</v>
      </c>
    </row>
    <row r="1269" spans="2:15" x14ac:dyDescent="0.45">
      <c r="B1269" t="s">
        <v>103</v>
      </c>
      <c r="C1269" t="str">
        <f t="shared" si="41"/>
        <v>YO25</v>
      </c>
      <c r="D1269">
        <v>25</v>
      </c>
      <c r="E1269" s="19">
        <v>45820</v>
      </c>
      <c r="F1269">
        <v>40</v>
      </c>
      <c r="J1269">
        <v>3</v>
      </c>
      <c r="M1269" t="str">
        <f t="shared" si="40"/>
        <v/>
      </c>
    </row>
    <row r="1270" spans="2:15" x14ac:dyDescent="0.45">
      <c r="B1270" t="s">
        <v>103</v>
      </c>
      <c r="C1270" t="str">
        <f t="shared" si="41"/>
        <v>YO25</v>
      </c>
      <c r="D1270">
        <v>25</v>
      </c>
      <c r="E1270" s="19">
        <v>45820</v>
      </c>
      <c r="F1270">
        <v>30</v>
      </c>
      <c r="J1270">
        <v>4</v>
      </c>
      <c r="M1270" t="str">
        <f t="shared" si="40"/>
        <v/>
      </c>
      <c r="O1270">
        <v>2</v>
      </c>
    </row>
    <row r="1271" spans="2:15" x14ac:dyDescent="0.45">
      <c r="B1271" t="s">
        <v>103</v>
      </c>
      <c r="C1271" t="str">
        <f t="shared" si="41"/>
        <v>YO03</v>
      </c>
      <c r="D1271">
        <v>3</v>
      </c>
      <c r="E1271" s="19">
        <v>45820</v>
      </c>
      <c r="F1271">
        <v>32</v>
      </c>
      <c r="J1271">
        <v>1</v>
      </c>
      <c r="M1271" t="str">
        <f t="shared" si="40"/>
        <v/>
      </c>
    </row>
    <row r="1272" spans="2:15" x14ac:dyDescent="0.45">
      <c r="B1272" t="s">
        <v>103</v>
      </c>
      <c r="C1272" t="str">
        <f t="shared" si="41"/>
        <v>YO09</v>
      </c>
      <c r="D1272">
        <v>9</v>
      </c>
      <c r="E1272" s="19">
        <v>45820</v>
      </c>
      <c r="F1272">
        <v>23</v>
      </c>
      <c r="J1272">
        <v>1</v>
      </c>
      <c r="M1272" t="str">
        <f t="shared" si="40"/>
        <v/>
      </c>
    </row>
    <row r="1273" spans="2:15" x14ac:dyDescent="0.45">
      <c r="B1273" t="s">
        <v>103</v>
      </c>
      <c r="C1273" t="str">
        <f t="shared" si="41"/>
        <v>YO09</v>
      </c>
      <c r="D1273">
        <v>9</v>
      </c>
      <c r="E1273" s="19">
        <v>45820</v>
      </c>
      <c r="F1273">
        <v>7</v>
      </c>
      <c r="J1273">
        <v>2</v>
      </c>
      <c r="M1273" t="str">
        <f t="shared" si="40"/>
        <v/>
      </c>
      <c r="O1273">
        <v>1</v>
      </c>
    </row>
    <row r="1274" spans="2:15" x14ac:dyDescent="0.45">
      <c r="B1274" t="s">
        <v>103</v>
      </c>
      <c r="C1274" t="str">
        <f t="shared" si="41"/>
        <v>YO17</v>
      </c>
      <c r="D1274">
        <v>17</v>
      </c>
      <c r="E1274" s="19">
        <v>45820</v>
      </c>
      <c r="F1274">
        <v>15</v>
      </c>
      <c r="J1274">
        <v>1</v>
      </c>
      <c r="M1274" t="str">
        <f t="shared" si="40"/>
        <v/>
      </c>
    </row>
    <row r="1275" spans="2:15" x14ac:dyDescent="0.45">
      <c r="B1275" t="s">
        <v>103</v>
      </c>
      <c r="C1275" t="str">
        <f t="shared" si="41"/>
        <v>YO15</v>
      </c>
      <c r="D1275">
        <v>15</v>
      </c>
      <c r="E1275" s="19">
        <v>45820</v>
      </c>
      <c r="F1275">
        <v>30</v>
      </c>
      <c r="J1275">
        <v>1</v>
      </c>
      <c r="M1275" t="str">
        <f t="shared" si="40"/>
        <v/>
      </c>
    </row>
    <row r="1276" spans="2:15" x14ac:dyDescent="0.45">
      <c r="B1276" t="s">
        <v>103</v>
      </c>
      <c r="C1276" t="str">
        <f t="shared" si="41"/>
        <v>YO02</v>
      </c>
      <c r="D1276">
        <v>2</v>
      </c>
      <c r="E1276" s="19">
        <v>45820</v>
      </c>
      <c r="F1276">
        <v>22</v>
      </c>
      <c r="J1276">
        <v>1</v>
      </c>
      <c r="M1276" t="str">
        <f t="shared" si="40"/>
        <v/>
      </c>
      <c r="O1276">
        <v>1</v>
      </c>
    </row>
    <row r="1277" spans="2:15" x14ac:dyDescent="0.45">
      <c r="B1277" t="s">
        <v>103</v>
      </c>
      <c r="C1277" t="str">
        <f t="shared" si="41"/>
        <v>YO21</v>
      </c>
      <c r="D1277">
        <v>21</v>
      </c>
      <c r="E1277" s="19">
        <v>45820</v>
      </c>
      <c r="F1277">
        <v>63</v>
      </c>
      <c r="J1277">
        <v>1</v>
      </c>
      <c r="K1277" t="s">
        <v>79</v>
      </c>
      <c r="L1277">
        <v>2</v>
      </c>
      <c r="M1277">
        <f t="shared" si="40"/>
        <v>3.1415926535897931</v>
      </c>
      <c r="O1277">
        <v>14</v>
      </c>
    </row>
    <row r="1278" spans="2:15" x14ac:dyDescent="0.45">
      <c r="B1278" t="s">
        <v>103</v>
      </c>
      <c r="C1278" t="str">
        <f t="shared" si="41"/>
        <v>YO21</v>
      </c>
      <c r="D1278">
        <v>21</v>
      </c>
      <c r="E1278" s="19">
        <v>45820</v>
      </c>
      <c r="F1278">
        <v>63</v>
      </c>
      <c r="J1278">
        <v>1</v>
      </c>
      <c r="K1278" t="s">
        <v>79</v>
      </c>
      <c r="L1278">
        <v>0.3</v>
      </c>
      <c r="M1278">
        <f t="shared" si="40"/>
        <v>7.0685834705770348E-2</v>
      </c>
    </row>
    <row r="1279" spans="2:15" x14ac:dyDescent="0.45">
      <c r="B1279" t="s">
        <v>103</v>
      </c>
      <c r="C1279" t="str">
        <f t="shared" si="41"/>
        <v>YO21</v>
      </c>
      <c r="D1279">
        <v>21</v>
      </c>
      <c r="E1279" s="19">
        <v>45820</v>
      </c>
      <c r="F1279">
        <v>63</v>
      </c>
      <c r="J1279">
        <v>1</v>
      </c>
      <c r="K1279" t="s">
        <v>79</v>
      </c>
      <c r="L1279">
        <v>1</v>
      </c>
      <c r="M1279">
        <f t="shared" si="40"/>
        <v>0.78539816339744828</v>
      </c>
    </row>
    <row r="1280" spans="2:15" x14ac:dyDescent="0.45">
      <c r="B1280" t="s">
        <v>103</v>
      </c>
      <c r="C1280" t="str">
        <f t="shared" si="41"/>
        <v>YO21</v>
      </c>
      <c r="D1280">
        <v>21</v>
      </c>
      <c r="E1280" s="19">
        <v>45820</v>
      </c>
      <c r="F1280">
        <v>63</v>
      </c>
      <c r="J1280">
        <v>1</v>
      </c>
      <c r="K1280" t="s">
        <v>79</v>
      </c>
      <c r="L1280">
        <v>1</v>
      </c>
      <c r="M1280">
        <f t="shared" si="40"/>
        <v>0.78539816339744828</v>
      </c>
    </row>
    <row r="1281" spans="2:15" x14ac:dyDescent="0.45">
      <c r="B1281" t="s">
        <v>103</v>
      </c>
      <c r="C1281" t="str">
        <f t="shared" si="41"/>
        <v>YO21</v>
      </c>
      <c r="D1281">
        <v>21</v>
      </c>
      <c r="E1281" s="19">
        <v>45820</v>
      </c>
      <c r="F1281">
        <v>63</v>
      </c>
      <c r="J1281">
        <v>1</v>
      </c>
      <c r="K1281" t="s">
        <v>77</v>
      </c>
      <c r="L1281">
        <v>1</v>
      </c>
      <c r="M1281">
        <f t="shared" si="40"/>
        <v>0.52359877559829882</v>
      </c>
    </row>
    <row r="1282" spans="2:15" x14ac:dyDescent="0.45">
      <c r="B1282" t="s">
        <v>103</v>
      </c>
      <c r="C1282" t="str">
        <f t="shared" si="41"/>
        <v>YO21</v>
      </c>
      <c r="D1282">
        <v>21</v>
      </c>
      <c r="E1282" s="19">
        <v>45820</v>
      </c>
      <c r="F1282">
        <v>63</v>
      </c>
      <c r="J1282">
        <v>1</v>
      </c>
      <c r="K1282" t="s">
        <v>79</v>
      </c>
      <c r="L1282">
        <v>2</v>
      </c>
      <c r="M1282">
        <f t="shared" si="40"/>
        <v>3.1415926535897931</v>
      </c>
    </row>
    <row r="1283" spans="2:15" x14ac:dyDescent="0.45">
      <c r="B1283" t="s">
        <v>103</v>
      </c>
      <c r="C1283" t="str">
        <f t="shared" si="41"/>
        <v>YO04</v>
      </c>
      <c r="D1283">
        <v>4</v>
      </c>
      <c r="E1283" s="19">
        <v>45820</v>
      </c>
      <c r="F1283">
        <v>50</v>
      </c>
      <c r="J1283">
        <v>1</v>
      </c>
      <c r="K1283" t="s">
        <v>79</v>
      </c>
      <c r="L1283">
        <v>1</v>
      </c>
      <c r="M1283">
        <f t="shared" si="40"/>
        <v>0.78539816339744828</v>
      </c>
      <c r="O1283">
        <v>2</v>
      </c>
    </row>
    <row r="1284" spans="2:15" x14ac:dyDescent="0.45">
      <c r="B1284" t="s">
        <v>103</v>
      </c>
      <c r="C1284" t="str">
        <f t="shared" si="41"/>
        <v>YO07</v>
      </c>
      <c r="D1284">
        <v>7</v>
      </c>
      <c r="E1284" s="19">
        <v>45820</v>
      </c>
      <c r="G1284" t="s">
        <v>104</v>
      </c>
      <c r="K1284" t="s">
        <v>79</v>
      </c>
      <c r="L1284">
        <v>0.2</v>
      </c>
      <c r="M1284">
        <f t="shared" si="40"/>
        <v>3.1415926535897934E-2</v>
      </c>
    </row>
    <row r="1285" spans="2:15" x14ac:dyDescent="0.45">
      <c r="B1285" t="s">
        <v>103</v>
      </c>
      <c r="C1285" t="str">
        <f t="shared" si="41"/>
        <v>YO18</v>
      </c>
      <c r="D1285">
        <v>18</v>
      </c>
      <c r="E1285" s="19">
        <v>45820</v>
      </c>
      <c r="F1285">
        <v>30</v>
      </c>
      <c r="G1285" t="s">
        <v>133</v>
      </c>
      <c r="M1285" t="str">
        <f t="shared" si="40"/>
        <v/>
      </c>
      <c r="O1285">
        <v>6</v>
      </c>
    </row>
    <row r="1286" spans="2:15" x14ac:dyDescent="0.45">
      <c r="B1286" t="s">
        <v>103</v>
      </c>
      <c r="C1286" t="str">
        <f t="shared" si="41"/>
        <v>YO05</v>
      </c>
      <c r="D1286">
        <v>5</v>
      </c>
      <c r="E1286" s="19">
        <v>45820</v>
      </c>
      <c r="F1286">
        <v>70</v>
      </c>
      <c r="G1286" t="s">
        <v>111</v>
      </c>
      <c r="J1286">
        <v>1</v>
      </c>
      <c r="K1286" t="s">
        <v>79</v>
      </c>
      <c r="L1286">
        <v>1</v>
      </c>
      <c r="M1286">
        <f t="shared" si="40"/>
        <v>0.78539816339744828</v>
      </c>
      <c r="N1286">
        <v>3</v>
      </c>
    </row>
    <row r="1287" spans="2:15" x14ac:dyDescent="0.45">
      <c r="B1287" t="s">
        <v>103</v>
      </c>
      <c r="C1287" t="str">
        <f t="shared" si="41"/>
        <v>YO05</v>
      </c>
      <c r="D1287">
        <v>5</v>
      </c>
      <c r="E1287" s="19">
        <v>45820</v>
      </c>
      <c r="F1287">
        <v>75</v>
      </c>
      <c r="J1287">
        <v>2</v>
      </c>
      <c r="M1287" t="str">
        <f t="shared" si="40"/>
        <v/>
      </c>
      <c r="N1287">
        <v>15</v>
      </c>
      <c r="O1287">
        <v>10</v>
      </c>
    </row>
    <row r="1288" spans="2:15" x14ac:dyDescent="0.45">
      <c r="B1288" t="s">
        <v>103</v>
      </c>
      <c r="C1288" t="str">
        <f t="shared" si="41"/>
        <v>YO05</v>
      </c>
      <c r="D1288">
        <v>5</v>
      </c>
      <c r="E1288" s="19">
        <v>45820</v>
      </c>
      <c r="F1288">
        <v>15</v>
      </c>
      <c r="J1288">
        <v>3</v>
      </c>
      <c r="L1288">
        <v>2</v>
      </c>
      <c r="M1288" t="str">
        <f t="shared" si="40"/>
        <v/>
      </c>
      <c r="N1288">
        <v>1</v>
      </c>
      <c r="O1288">
        <v>10</v>
      </c>
    </row>
    <row r="1289" spans="2:15" x14ac:dyDescent="0.45">
      <c r="B1289" t="s">
        <v>103</v>
      </c>
      <c r="C1289" t="str">
        <f t="shared" si="41"/>
        <v>YO05</v>
      </c>
      <c r="D1289">
        <v>5</v>
      </c>
      <c r="E1289" s="19">
        <v>45820</v>
      </c>
      <c r="F1289">
        <v>15</v>
      </c>
      <c r="J1289">
        <v>3</v>
      </c>
      <c r="L1289">
        <v>1.5</v>
      </c>
      <c r="M1289" t="str">
        <f t="shared" si="40"/>
        <v/>
      </c>
    </row>
    <row r="1290" spans="2:15" x14ac:dyDescent="0.45">
      <c r="B1290" t="s">
        <v>103</v>
      </c>
      <c r="C1290" t="str">
        <f t="shared" si="41"/>
        <v>YO05</v>
      </c>
      <c r="D1290">
        <v>5</v>
      </c>
      <c r="E1290" s="19">
        <v>45820</v>
      </c>
      <c r="F1290">
        <v>45</v>
      </c>
      <c r="J1290">
        <v>4</v>
      </c>
      <c r="K1290" t="s">
        <v>79</v>
      </c>
      <c r="L1290">
        <v>0.4</v>
      </c>
      <c r="M1290">
        <f t="shared" si="40"/>
        <v>0.12566370614359174</v>
      </c>
      <c r="N1290">
        <v>8</v>
      </c>
      <c r="O1290">
        <v>7</v>
      </c>
    </row>
    <row r="1291" spans="2:15" x14ac:dyDescent="0.45">
      <c r="B1291" t="s">
        <v>103</v>
      </c>
      <c r="C1291" t="str">
        <f t="shared" si="41"/>
        <v>YO05</v>
      </c>
      <c r="D1291">
        <v>5</v>
      </c>
      <c r="E1291" s="19">
        <v>45820</v>
      </c>
      <c r="F1291">
        <v>23</v>
      </c>
      <c r="J1291">
        <v>5</v>
      </c>
      <c r="M1291" t="str">
        <f t="shared" si="40"/>
        <v/>
      </c>
      <c r="O1291">
        <v>3</v>
      </c>
    </row>
    <row r="1292" spans="2:15" x14ac:dyDescent="0.45">
      <c r="B1292" t="s">
        <v>103</v>
      </c>
      <c r="C1292" t="str">
        <f t="shared" si="41"/>
        <v>YO11</v>
      </c>
      <c r="D1292">
        <v>11</v>
      </c>
      <c r="E1292" s="19">
        <v>45820</v>
      </c>
      <c r="F1292">
        <v>60</v>
      </c>
      <c r="J1292">
        <v>1</v>
      </c>
      <c r="K1292" t="s">
        <v>77</v>
      </c>
      <c r="L1292">
        <v>1</v>
      </c>
      <c r="M1292">
        <f t="shared" si="40"/>
        <v>0.52359877559829882</v>
      </c>
      <c r="N1292">
        <v>1</v>
      </c>
      <c r="O1292">
        <v>5</v>
      </c>
    </row>
    <row r="1293" spans="2:15" x14ac:dyDescent="0.45">
      <c r="B1293" t="s">
        <v>103</v>
      </c>
      <c r="C1293" t="str">
        <f t="shared" si="41"/>
        <v>YO11</v>
      </c>
      <c r="D1293">
        <v>11</v>
      </c>
      <c r="E1293" s="19">
        <v>45820</v>
      </c>
      <c r="F1293">
        <v>60</v>
      </c>
      <c r="J1293">
        <v>1</v>
      </c>
      <c r="K1293" t="s">
        <v>79</v>
      </c>
      <c r="L1293">
        <v>0.2</v>
      </c>
      <c r="M1293">
        <f t="shared" ref="M1293:M1326" si="42">IF(OR(L1293="na", L1293=""), "", IF(K1293="mm", PI()*(L1293/2)^2, IF(K1293="ep", PI()*(L1293/2)*(L1293*(2/3)/2), "")))</f>
        <v>3.1415926535897934E-2</v>
      </c>
    </row>
    <row r="1294" spans="2:15" x14ac:dyDescent="0.45">
      <c r="B1294" t="s">
        <v>103</v>
      </c>
      <c r="C1294" t="str">
        <f t="shared" si="41"/>
        <v>YO11</v>
      </c>
      <c r="D1294">
        <v>11</v>
      </c>
      <c r="E1294" s="19">
        <v>45820</v>
      </c>
      <c r="F1294">
        <v>60</v>
      </c>
      <c r="J1294">
        <v>1</v>
      </c>
      <c r="K1294" t="s">
        <v>79</v>
      </c>
      <c r="L1294">
        <v>0.2</v>
      </c>
      <c r="M1294">
        <f t="shared" si="42"/>
        <v>3.1415926535897934E-2</v>
      </c>
    </row>
    <row r="1295" spans="2:15" x14ac:dyDescent="0.45">
      <c r="B1295" t="s">
        <v>103</v>
      </c>
      <c r="C1295" t="str">
        <f t="shared" si="41"/>
        <v>YO11</v>
      </c>
      <c r="D1295">
        <v>11</v>
      </c>
      <c r="E1295" s="19">
        <v>45820</v>
      </c>
      <c r="F1295">
        <v>60</v>
      </c>
      <c r="J1295">
        <v>1</v>
      </c>
      <c r="K1295" t="s">
        <v>79</v>
      </c>
      <c r="L1295">
        <v>0.2</v>
      </c>
      <c r="M1295">
        <f t="shared" si="42"/>
        <v>3.1415926535897934E-2</v>
      </c>
    </row>
    <row r="1296" spans="2:15" x14ac:dyDescent="0.45">
      <c r="B1296" t="s">
        <v>103</v>
      </c>
      <c r="C1296" t="str">
        <f t="shared" si="41"/>
        <v>YO11</v>
      </c>
      <c r="D1296">
        <v>11</v>
      </c>
      <c r="E1296" s="19">
        <v>45820</v>
      </c>
      <c r="F1296">
        <v>60</v>
      </c>
      <c r="J1296">
        <v>1</v>
      </c>
      <c r="K1296" t="s">
        <v>79</v>
      </c>
      <c r="L1296">
        <v>0.2</v>
      </c>
      <c r="M1296">
        <f t="shared" si="42"/>
        <v>3.1415926535897934E-2</v>
      </c>
    </row>
    <row r="1297" spans="2:15" x14ac:dyDescent="0.45">
      <c r="B1297" t="s">
        <v>103</v>
      </c>
      <c r="C1297" t="str">
        <f t="shared" si="41"/>
        <v>YO11</v>
      </c>
      <c r="D1297">
        <v>11</v>
      </c>
      <c r="E1297" s="19">
        <v>45820</v>
      </c>
      <c r="F1297">
        <v>60</v>
      </c>
      <c r="J1297">
        <v>1</v>
      </c>
      <c r="K1297" t="s">
        <v>79</v>
      </c>
      <c r="L1297">
        <v>0.2</v>
      </c>
      <c r="M1297">
        <f t="shared" si="42"/>
        <v>3.1415926535897934E-2</v>
      </c>
    </row>
    <row r="1298" spans="2:15" x14ac:dyDescent="0.45">
      <c r="B1298" t="s">
        <v>103</v>
      </c>
      <c r="C1298" t="str">
        <f t="shared" si="41"/>
        <v>YO11</v>
      </c>
      <c r="D1298">
        <v>11</v>
      </c>
      <c r="E1298" s="19">
        <v>45820</v>
      </c>
      <c r="F1298">
        <v>60</v>
      </c>
      <c r="J1298">
        <v>1</v>
      </c>
      <c r="K1298" t="s">
        <v>77</v>
      </c>
      <c r="L1298">
        <v>1</v>
      </c>
      <c r="M1298">
        <f t="shared" si="42"/>
        <v>0.52359877559829882</v>
      </c>
    </row>
    <row r="1299" spans="2:15" x14ac:dyDescent="0.45">
      <c r="B1299" t="s">
        <v>103</v>
      </c>
      <c r="C1299" t="str">
        <f t="shared" si="41"/>
        <v>YO11</v>
      </c>
      <c r="D1299">
        <v>11</v>
      </c>
      <c r="E1299" s="19">
        <v>45820</v>
      </c>
      <c r="F1299">
        <v>30</v>
      </c>
      <c r="J1299">
        <v>2</v>
      </c>
      <c r="K1299" t="s">
        <v>79</v>
      </c>
      <c r="L1299">
        <v>3</v>
      </c>
      <c r="M1299">
        <f t="shared" si="42"/>
        <v>7.0685834705770345</v>
      </c>
      <c r="O1299">
        <v>3</v>
      </c>
    </row>
    <row r="1300" spans="2:15" x14ac:dyDescent="0.45">
      <c r="B1300" t="s">
        <v>103</v>
      </c>
      <c r="C1300" t="str">
        <f t="shared" si="41"/>
        <v>YO11</v>
      </c>
      <c r="D1300">
        <v>11</v>
      </c>
      <c r="E1300" s="19">
        <v>45820</v>
      </c>
      <c r="F1300">
        <v>30</v>
      </c>
      <c r="J1300">
        <v>2</v>
      </c>
      <c r="K1300" t="s">
        <v>77</v>
      </c>
      <c r="L1300">
        <v>1.3</v>
      </c>
      <c r="M1300">
        <f t="shared" si="42"/>
        <v>0.88488193076112509</v>
      </c>
    </row>
    <row r="1301" spans="2:15" x14ac:dyDescent="0.45">
      <c r="B1301" t="s">
        <v>103</v>
      </c>
      <c r="C1301" t="str">
        <f t="shared" si="41"/>
        <v>YO11</v>
      </c>
      <c r="D1301">
        <v>11</v>
      </c>
      <c r="E1301" s="19">
        <v>45820</v>
      </c>
      <c r="F1301">
        <v>30</v>
      </c>
      <c r="J1301">
        <v>2</v>
      </c>
      <c r="K1301" t="s">
        <v>77</v>
      </c>
      <c r="L1301">
        <v>1</v>
      </c>
      <c r="M1301">
        <f t="shared" si="42"/>
        <v>0.52359877559829882</v>
      </c>
    </row>
    <row r="1302" spans="2:15" x14ac:dyDescent="0.45">
      <c r="B1302" t="s">
        <v>103</v>
      </c>
      <c r="C1302" t="str">
        <f t="shared" si="41"/>
        <v>YO11</v>
      </c>
      <c r="D1302">
        <v>11</v>
      </c>
      <c r="E1302" s="19">
        <v>45820</v>
      </c>
      <c r="F1302">
        <v>35</v>
      </c>
      <c r="J1302">
        <v>3</v>
      </c>
      <c r="M1302" t="str">
        <f t="shared" si="42"/>
        <v/>
      </c>
      <c r="O1302">
        <v>2</v>
      </c>
    </row>
    <row r="1303" spans="2:15" x14ac:dyDescent="0.45">
      <c r="B1303" t="s">
        <v>103</v>
      </c>
      <c r="C1303" t="str">
        <f t="shared" si="41"/>
        <v>YO11</v>
      </c>
      <c r="D1303">
        <v>11</v>
      </c>
      <c r="E1303" s="19">
        <v>45820</v>
      </c>
      <c r="F1303">
        <v>25</v>
      </c>
      <c r="J1303">
        <v>4</v>
      </c>
      <c r="M1303" t="str">
        <f t="shared" si="42"/>
        <v/>
      </c>
      <c r="O1303">
        <v>2</v>
      </c>
    </row>
    <row r="1304" spans="2:15" x14ac:dyDescent="0.45">
      <c r="B1304" t="s">
        <v>103</v>
      </c>
      <c r="C1304" t="str">
        <f t="shared" si="41"/>
        <v>YO22</v>
      </c>
      <c r="D1304">
        <v>22</v>
      </c>
      <c r="E1304" s="19">
        <v>45820</v>
      </c>
      <c r="F1304">
        <v>66</v>
      </c>
      <c r="J1304">
        <v>1</v>
      </c>
      <c r="M1304" t="str">
        <f t="shared" si="42"/>
        <v/>
      </c>
      <c r="O1304">
        <v>2</v>
      </c>
    </row>
    <row r="1305" spans="2:15" x14ac:dyDescent="0.45">
      <c r="B1305" t="s">
        <v>103</v>
      </c>
      <c r="C1305" t="str">
        <f t="shared" si="41"/>
        <v>YO22</v>
      </c>
      <c r="D1305">
        <v>22</v>
      </c>
      <c r="E1305" s="19">
        <v>45820</v>
      </c>
      <c r="F1305">
        <v>42</v>
      </c>
      <c r="J1305">
        <v>2</v>
      </c>
      <c r="M1305" t="str">
        <f t="shared" si="42"/>
        <v/>
      </c>
      <c r="O1305">
        <v>1</v>
      </c>
    </row>
    <row r="1306" spans="2:15" x14ac:dyDescent="0.45">
      <c r="B1306" t="s">
        <v>103</v>
      </c>
      <c r="C1306" t="str">
        <f t="shared" si="41"/>
        <v>YO22</v>
      </c>
      <c r="D1306">
        <v>22</v>
      </c>
      <c r="E1306" s="19">
        <v>45820</v>
      </c>
      <c r="F1306">
        <v>28</v>
      </c>
      <c r="J1306">
        <v>3</v>
      </c>
      <c r="M1306" t="str">
        <f t="shared" si="42"/>
        <v/>
      </c>
    </row>
    <row r="1307" spans="2:15" x14ac:dyDescent="0.45">
      <c r="B1307" t="s">
        <v>103</v>
      </c>
      <c r="C1307" t="str">
        <f t="shared" si="41"/>
        <v>YO22</v>
      </c>
      <c r="D1307">
        <v>22</v>
      </c>
      <c r="E1307" s="19">
        <v>45820</v>
      </c>
      <c r="F1307">
        <v>27</v>
      </c>
      <c r="J1307">
        <v>4</v>
      </c>
      <c r="K1307" t="s">
        <v>79</v>
      </c>
      <c r="L1307">
        <v>1.2</v>
      </c>
      <c r="M1307">
        <f t="shared" si="42"/>
        <v>1.1309733552923256</v>
      </c>
    </row>
    <row r="1308" spans="2:15" x14ac:dyDescent="0.45">
      <c r="B1308" t="s">
        <v>103</v>
      </c>
      <c r="C1308" t="str">
        <f t="shared" si="41"/>
        <v>YO22</v>
      </c>
      <c r="D1308">
        <v>22</v>
      </c>
      <c r="E1308" s="19">
        <v>45820</v>
      </c>
      <c r="F1308">
        <v>30</v>
      </c>
      <c r="J1308">
        <v>5</v>
      </c>
      <c r="M1308" t="str">
        <f t="shared" si="42"/>
        <v/>
      </c>
      <c r="N1308">
        <v>3</v>
      </c>
      <c r="O1308">
        <v>1</v>
      </c>
    </row>
    <row r="1309" spans="2:15" x14ac:dyDescent="0.45">
      <c r="B1309" t="s">
        <v>103</v>
      </c>
      <c r="C1309" t="str">
        <f t="shared" si="41"/>
        <v>YO22</v>
      </c>
      <c r="D1309">
        <v>22</v>
      </c>
      <c r="E1309" s="19">
        <v>45820</v>
      </c>
      <c r="F1309">
        <v>33</v>
      </c>
      <c r="J1309">
        <v>6</v>
      </c>
      <c r="M1309" t="str">
        <f t="shared" si="42"/>
        <v/>
      </c>
      <c r="O1309">
        <v>1</v>
      </c>
    </row>
    <row r="1310" spans="2:15" x14ac:dyDescent="0.45">
      <c r="B1310" t="s">
        <v>103</v>
      </c>
      <c r="C1310" t="str">
        <f t="shared" si="41"/>
        <v>YO22</v>
      </c>
      <c r="D1310">
        <v>22</v>
      </c>
      <c r="E1310" s="19">
        <v>45820</v>
      </c>
      <c r="F1310">
        <v>52</v>
      </c>
      <c r="J1310">
        <v>7</v>
      </c>
      <c r="M1310" t="str">
        <f t="shared" si="42"/>
        <v/>
      </c>
    </row>
    <row r="1311" spans="2:15" x14ac:dyDescent="0.45">
      <c r="B1311" t="s">
        <v>103</v>
      </c>
      <c r="C1311" t="str">
        <f t="shared" si="41"/>
        <v>YO14</v>
      </c>
      <c r="D1311">
        <v>14</v>
      </c>
      <c r="E1311" s="19">
        <v>45820</v>
      </c>
      <c r="G1311" t="s">
        <v>104</v>
      </c>
      <c r="M1311" t="str">
        <f t="shared" si="42"/>
        <v/>
      </c>
    </row>
    <row r="1312" spans="2:15" x14ac:dyDescent="0.45">
      <c r="B1312" t="s">
        <v>103</v>
      </c>
      <c r="C1312" t="str">
        <f t="shared" si="41"/>
        <v>YO20</v>
      </c>
      <c r="D1312">
        <v>20</v>
      </c>
      <c r="E1312" s="19">
        <v>45820</v>
      </c>
      <c r="G1312" t="s">
        <v>104</v>
      </c>
      <c r="M1312" t="str">
        <f t="shared" si="42"/>
        <v/>
      </c>
    </row>
    <row r="1313" spans="2:15" x14ac:dyDescent="0.45">
      <c r="B1313" t="s">
        <v>103</v>
      </c>
      <c r="C1313" t="str">
        <f t="shared" si="41"/>
        <v>YO16</v>
      </c>
      <c r="D1313">
        <v>16</v>
      </c>
      <c r="E1313" s="19">
        <v>45820</v>
      </c>
      <c r="F1313">
        <v>50</v>
      </c>
      <c r="J1313">
        <v>1</v>
      </c>
      <c r="M1313" t="str">
        <f t="shared" si="42"/>
        <v/>
      </c>
      <c r="O1313">
        <v>4</v>
      </c>
    </row>
    <row r="1314" spans="2:15" x14ac:dyDescent="0.45">
      <c r="B1314" t="s">
        <v>103</v>
      </c>
      <c r="C1314" t="str">
        <f t="shared" si="41"/>
        <v>YO16</v>
      </c>
      <c r="D1314">
        <v>16</v>
      </c>
      <c r="E1314" s="19">
        <v>45820</v>
      </c>
      <c r="G1314" t="s">
        <v>104</v>
      </c>
      <c r="J1314">
        <v>2</v>
      </c>
      <c r="M1314" t="str">
        <f t="shared" si="42"/>
        <v/>
      </c>
    </row>
    <row r="1315" spans="2:15" x14ac:dyDescent="0.45">
      <c r="B1315" t="s">
        <v>103</v>
      </c>
      <c r="C1315" t="str">
        <f t="shared" si="41"/>
        <v>YO06</v>
      </c>
      <c r="D1315">
        <v>6</v>
      </c>
      <c r="E1315" s="19">
        <v>45820</v>
      </c>
      <c r="F1315">
        <v>42</v>
      </c>
      <c r="J1315">
        <v>1</v>
      </c>
      <c r="M1315" t="str">
        <f t="shared" si="42"/>
        <v/>
      </c>
    </row>
    <row r="1316" spans="2:15" x14ac:dyDescent="0.45">
      <c r="B1316" t="s">
        <v>103</v>
      </c>
      <c r="C1316" t="str">
        <f t="shared" si="41"/>
        <v>YO06</v>
      </c>
      <c r="D1316">
        <v>6</v>
      </c>
      <c r="E1316" s="19">
        <v>45820</v>
      </c>
      <c r="F1316">
        <v>20</v>
      </c>
      <c r="J1316">
        <v>2</v>
      </c>
      <c r="K1316" t="s">
        <v>79</v>
      </c>
      <c r="L1316">
        <v>1</v>
      </c>
      <c r="M1316">
        <f t="shared" si="42"/>
        <v>0.78539816339744828</v>
      </c>
    </row>
    <row r="1317" spans="2:15" x14ac:dyDescent="0.45">
      <c r="B1317" t="s">
        <v>103</v>
      </c>
      <c r="C1317" t="str">
        <f t="shared" si="41"/>
        <v>YO12</v>
      </c>
      <c r="D1317">
        <v>12</v>
      </c>
      <c r="E1317" s="19">
        <v>45820</v>
      </c>
      <c r="F1317">
        <v>45</v>
      </c>
      <c r="J1317">
        <v>1</v>
      </c>
      <c r="M1317" t="str">
        <f t="shared" si="42"/>
        <v/>
      </c>
    </row>
    <row r="1318" spans="2:15" x14ac:dyDescent="0.45">
      <c r="B1318" t="s">
        <v>103</v>
      </c>
      <c r="C1318" t="str">
        <f t="shared" si="41"/>
        <v>YO12</v>
      </c>
      <c r="D1318">
        <v>12</v>
      </c>
      <c r="E1318" s="19">
        <v>45820</v>
      </c>
      <c r="J1318">
        <v>2</v>
      </c>
      <c r="M1318" t="str">
        <f t="shared" si="42"/>
        <v/>
      </c>
      <c r="O1318">
        <v>3</v>
      </c>
    </row>
    <row r="1319" spans="2:15" x14ac:dyDescent="0.45">
      <c r="B1319" t="s">
        <v>103</v>
      </c>
      <c r="C1319" t="str">
        <f t="shared" si="41"/>
        <v>YO12</v>
      </c>
      <c r="D1319">
        <v>12</v>
      </c>
      <c r="E1319" s="19">
        <v>45820</v>
      </c>
      <c r="F1319">
        <v>24</v>
      </c>
      <c r="J1319">
        <v>3</v>
      </c>
      <c r="M1319" t="str">
        <f t="shared" si="42"/>
        <v/>
      </c>
      <c r="O1319">
        <v>2</v>
      </c>
    </row>
    <row r="1320" spans="2:15" x14ac:dyDescent="0.45">
      <c r="B1320" t="s">
        <v>103</v>
      </c>
      <c r="C1320" t="str">
        <f t="shared" si="41"/>
        <v>YO12</v>
      </c>
      <c r="D1320">
        <v>12</v>
      </c>
      <c r="E1320" s="19">
        <v>45820</v>
      </c>
      <c r="F1320">
        <v>25</v>
      </c>
      <c r="J1320">
        <v>4</v>
      </c>
      <c r="K1320" t="s">
        <v>79</v>
      </c>
      <c r="L1320">
        <v>1</v>
      </c>
      <c r="M1320" t="str">
        <f>[1]mill_mesocosm_full_data4!$M$1326</f>
        <v/>
      </c>
    </row>
    <row r="1321" spans="2:15" x14ac:dyDescent="0.45">
      <c r="B1321" t="s">
        <v>103</v>
      </c>
      <c r="C1321" t="str">
        <f t="shared" si="41"/>
        <v>YO08</v>
      </c>
      <c r="D1321">
        <v>8</v>
      </c>
      <c r="E1321" s="19">
        <v>45820</v>
      </c>
      <c r="F1321">
        <v>27</v>
      </c>
      <c r="J1321">
        <v>1</v>
      </c>
      <c r="M1321" t="str">
        <f t="shared" si="42"/>
        <v/>
      </c>
      <c r="O1321">
        <v>1</v>
      </c>
    </row>
    <row r="1322" spans="2:15" x14ac:dyDescent="0.45">
      <c r="B1322" t="s">
        <v>103</v>
      </c>
      <c r="C1322" t="str">
        <f t="shared" si="41"/>
        <v>YO01</v>
      </c>
      <c r="D1322">
        <v>1</v>
      </c>
      <c r="E1322" s="19">
        <v>45820</v>
      </c>
      <c r="G1322" t="s">
        <v>104</v>
      </c>
      <c r="M1322" t="str">
        <f t="shared" si="42"/>
        <v/>
      </c>
    </row>
    <row r="1323" spans="2:15" x14ac:dyDescent="0.45">
      <c r="B1323" t="s">
        <v>103</v>
      </c>
      <c r="C1323" t="str">
        <f t="shared" si="41"/>
        <v>YOunknown</v>
      </c>
      <c r="D1323" t="s">
        <v>134</v>
      </c>
      <c r="E1323" s="19">
        <v>45820</v>
      </c>
      <c r="G1323" t="s">
        <v>104</v>
      </c>
      <c r="M1323" t="str">
        <f t="shared" si="42"/>
        <v/>
      </c>
    </row>
    <row r="1324" spans="2:15" x14ac:dyDescent="0.45">
      <c r="B1324" t="s">
        <v>103</v>
      </c>
      <c r="C1324" t="str">
        <f>"YO" &amp; TEXT(D1324, "00")</f>
        <v>YO13</v>
      </c>
      <c r="D1324">
        <v>13</v>
      </c>
      <c r="E1324" s="19">
        <v>45820</v>
      </c>
      <c r="F1324">
        <v>50</v>
      </c>
      <c r="J1324">
        <v>1</v>
      </c>
      <c r="M1324" t="str">
        <f t="shared" si="42"/>
        <v/>
      </c>
      <c r="O1324">
        <v>10</v>
      </c>
    </row>
    <row r="1325" spans="2:15" x14ac:dyDescent="0.45">
      <c r="B1325" t="s">
        <v>103</v>
      </c>
      <c r="C1325" t="str">
        <f>"YO" &amp; TEXT(D1325, "00")</f>
        <v>YO00</v>
      </c>
      <c r="E1325" s="19">
        <v>45820</v>
      </c>
      <c r="F1325">
        <v>55</v>
      </c>
      <c r="J1325">
        <v>2</v>
      </c>
      <c r="M1325">
        <f>M132700</f>
        <v>0</v>
      </c>
      <c r="O1325">
        <v>5</v>
      </c>
    </row>
    <row r="1326" spans="2:15" x14ac:dyDescent="0.45">
      <c r="B1326" t="s">
        <v>103</v>
      </c>
      <c r="C1326" t="str">
        <f>"YO" &amp; TEXT(D1326, "00")</f>
        <v>YO00</v>
      </c>
      <c r="E1326" s="19">
        <v>45820</v>
      </c>
      <c r="F1326">
        <v>35</v>
      </c>
      <c r="J1326">
        <v>3</v>
      </c>
      <c r="M1326" t="str">
        <f t="shared" si="42"/>
        <v/>
      </c>
      <c r="O1326">
        <v>4</v>
      </c>
    </row>
  </sheetData>
  <autoFilter ref="A1:P1326" xr:uid="{FBB65A62-D8A0-4030-90A0-520677ABF517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0440-BAB3-4DDC-81EE-82FEA5778EBF}">
  <sheetPr filterMode="1"/>
  <dimension ref="A1:Q190"/>
  <sheetViews>
    <sheetView workbookViewId="0">
      <selection activeCell="B188" sqref="B188"/>
    </sheetView>
  </sheetViews>
  <sheetFormatPr defaultRowHeight="14.25" x14ac:dyDescent="0.45"/>
  <cols>
    <col min="1" max="1" width="14.73046875" bestFit="1" customWidth="1"/>
    <col min="2" max="2" width="13.86328125" bestFit="1" customWidth="1"/>
    <col min="4" max="4" width="12.3984375" bestFit="1" customWidth="1"/>
    <col min="5" max="5" width="16.59765625" customWidth="1"/>
    <col min="7" max="7" width="16.3984375" bestFit="1" customWidth="1"/>
    <col min="9" max="9" width="39" bestFit="1" customWidth="1"/>
    <col min="17" max="17" width="24.3984375" bestFit="1" customWidth="1"/>
  </cols>
  <sheetData>
    <row r="1" spans="1:17" x14ac:dyDescent="0.45">
      <c r="A1" s="5" t="s">
        <v>1</v>
      </c>
      <c r="B1" s="5" t="s">
        <v>2</v>
      </c>
      <c r="C1" s="5" t="s">
        <v>58</v>
      </c>
      <c r="D1" s="5" t="s">
        <v>3</v>
      </c>
      <c r="E1" s="5" t="s">
        <v>60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16" t="s">
        <v>11</v>
      </c>
      <c r="N1" s="16" t="s">
        <v>12</v>
      </c>
      <c r="O1" s="16" t="s">
        <v>13</v>
      </c>
      <c r="P1" s="16" t="s">
        <v>135</v>
      </c>
      <c r="Q1" s="16" t="s">
        <v>136</v>
      </c>
    </row>
    <row r="2" spans="1:17" hidden="1" x14ac:dyDescent="0.45">
      <c r="A2" s="12" t="s">
        <v>15</v>
      </c>
      <c r="B2" s="12" t="s">
        <v>16</v>
      </c>
      <c r="C2" s="12">
        <v>1</v>
      </c>
      <c r="E2" t="s">
        <v>137</v>
      </c>
      <c r="F2" s="12" t="s">
        <v>17</v>
      </c>
      <c r="G2" s="12">
        <v>130</v>
      </c>
      <c r="H2" s="12" t="s">
        <v>18</v>
      </c>
      <c r="I2" s="12"/>
      <c r="J2" s="12"/>
      <c r="K2" s="12"/>
      <c r="L2" s="12">
        <v>2</v>
      </c>
      <c r="M2" s="12">
        <v>6</v>
      </c>
      <c r="N2" s="12" t="s">
        <v>19</v>
      </c>
      <c r="O2" s="12" t="s">
        <v>20</v>
      </c>
      <c r="P2" s="12">
        <v>81</v>
      </c>
      <c r="Q2" s="6">
        <v>121</v>
      </c>
    </row>
    <row r="3" spans="1:17" hidden="1" x14ac:dyDescent="0.45">
      <c r="A3" s="12" t="s">
        <v>15</v>
      </c>
      <c r="B3" s="12" t="s">
        <v>16</v>
      </c>
      <c r="C3" s="12">
        <v>2</v>
      </c>
      <c r="E3" t="s">
        <v>138</v>
      </c>
      <c r="F3" s="12" t="s">
        <v>17</v>
      </c>
      <c r="G3" s="12">
        <v>120</v>
      </c>
      <c r="H3" s="12" t="s">
        <v>18</v>
      </c>
      <c r="I3" s="12"/>
      <c r="J3" s="12"/>
      <c r="K3" s="12"/>
      <c r="L3" s="12">
        <v>3</v>
      </c>
      <c r="M3" s="12">
        <v>3</v>
      </c>
      <c r="N3" s="12" t="s">
        <v>21</v>
      </c>
      <c r="O3" s="12" t="s">
        <v>22</v>
      </c>
      <c r="P3" s="12">
        <v>82</v>
      </c>
      <c r="Q3" s="6">
        <v>147</v>
      </c>
    </row>
    <row r="4" spans="1:17" hidden="1" x14ac:dyDescent="0.45">
      <c r="A4" s="12" t="s">
        <v>15</v>
      </c>
      <c r="B4" s="12" t="s">
        <v>16</v>
      </c>
      <c r="C4" s="12">
        <v>4</v>
      </c>
      <c r="E4" t="s">
        <v>139</v>
      </c>
      <c r="F4" s="12" t="s">
        <v>17</v>
      </c>
      <c r="G4" s="12">
        <v>130</v>
      </c>
      <c r="H4" s="12" t="s">
        <v>18</v>
      </c>
      <c r="I4" s="12"/>
      <c r="J4" s="12"/>
      <c r="K4" s="12"/>
      <c r="L4" s="12">
        <v>1</v>
      </c>
      <c r="M4" s="12">
        <v>6</v>
      </c>
      <c r="N4" s="12" t="s">
        <v>19</v>
      </c>
      <c r="O4" s="12" t="s">
        <v>23</v>
      </c>
      <c r="P4" s="12">
        <v>83</v>
      </c>
      <c r="Q4" s="6">
        <v>105</v>
      </c>
    </row>
    <row r="5" spans="1:17" hidden="1" x14ac:dyDescent="0.45">
      <c r="A5" s="12" t="s">
        <v>15</v>
      </c>
      <c r="B5" s="12" t="s">
        <v>24</v>
      </c>
      <c r="C5" s="12">
        <v>9</v>
      </c>
      <c r="E5" t="s">
        <v>140</v>
      </c>
      <c r="F5" s="12" t="s">
        <v>25</v>
      </c>
      <c r="G5" s="12">
        <v>130</v>
      </c>
      <c r="H5" s="12" t="s">
        <v>18</v>
      </c>
      <c r="I5" s="12"/>
      <c r="J5" s="12"/>
      <c r="K5" s="12"/>
      <c r="L5" s="12">
        <v>2</v>
      </c>
      <c r="M5" s="12">
        <v>6</v>
      </c>
      <c r="N5" s="12" t="s">
        <v>19</v>
      </c>
      <c r="O5" s="12" t="s">
        <v>20</v>
      </c>
      <c r="P5" s="12">
        <v>84</v>
      </c>
      <c r="Q5" s="6">
        <v>120</v>
      </c>
    </row>
    <row r="6" spans="1:17" hidden="1" x14ac:dyDescent="0.45">
      <c r="A6" s="12" t="s">
        <v>15</v>
      </c>
      <c r="B6" s="12" t="s">
        <v>24</v>
      </c>
      <c r="C6" s="12">
        <v>1</v>
      </c>
      <c r="E6" t="s">
        <v>141</v>
      </c>
      <c r="F6" s="12" t="s">
        <v>25</v>
      </c>
      <c r="G6" s="12">
        <v>100</v>
      </c>
      <c r="H6" s="12" t="s">
        <v>18</v>
      </c>
      <c r="I6" s="12"/>
      <c r="J6" s="12"/>
      <c r="K6" s="12">
        <v>3</v>
      </c>
      <c r="L6" s="12">
        <v>1</v>
      </c>
      <c r="M6" s="12">
        <v>7</v>
      </c>
      <c r="N6" s="12" t="s">
        <v>21</v>
      </c>
      <c r="O6" s="12" t="s">
        <v>23</v>
      </c>
      <c r="P6" s="12">
        <v>8</v>
      </c>
      <c r="Q6" s="6">
        <v>102</v>
      </c>
    </row>
    <row r="7" spans="1:17" hidden="1" x14ac:dyDescent="0.45">
      <c r="A7" s="12" t="s">
        <v>15</v>
      </c>
      <c r="B7" s="12" t="s">
        <v>24</v>
      </c>
      <c r="C7" s="12">
        <v>2</v>
      </c>
      <c r="E7" t="s">
        <v>142</v>
      </c>
      <c r="F7" s="12" t="s">
        <v>25</v>
      </c>
      <c r="G7" s="12">
        <v>110</v>
      </c>
      <c r="H7" s="12" t="s">
        <v>18</v>
      </c>
      <c r="I7" s="12"/>
      <c r="J7" s="12"/>
      <c r="K7" s="12">
        <v>4</v>
      </c>
      <c r="L7" s="12">
        <v>2</v>
      </c>
      <c r="M7" s="12">
        <v>7</v>
      </c>
      <c r="N7" s="12" t="s">
        <v>21</v>
      </c>
      <c r="O7" s="12" t="s">
        <v>20</v>
      </c>
      <c r="P7" s="12">
        <v>2</v>
      </c>
      <c r="Q7" s="6">
        <v>128</v>
      </c>
    </row>
    <row r="8" spans="1:17" hidden="1" x14ac:dyDescent="0.45">
      <c r="A8" s="12" t="s">
        <v>15</v>
      </c>
      <c r="B8" s="12" t="s">
        <v>24</v>
      </c>
      <c r="C8" s="12">
        <v>3</v>
      </c>
      <c r="E8" t="s">
        <v>132</v>
      </c>
      <c r="F8" s="12" t="s">
        <v>25</v>
      </c>
      <c r="G8" s="12">
        <v>80</v>
      </c>
      <c r="H8" s="12" t="s">
        <v>18</v>
      </c>
      <c r="I8" s="12"/>
      <c r="J8" s="12"/>
      <c r="K8" s="12">
        <v>2</v>
      </c>
      <c r="L8" s="12">
        <v>3</v>
      </c>
      <c r="M8" s="12">
        <v>5</v>
      </c>
      <c r="N8" s="12" t="s">
        <v>21</v>
      </c>
      <c r="O8" s="12" t="s">
        <v>22</v>
      </c>
      <c r="P8" s="12">
        <v>13</v>
      </c>
      <c r="Q8" s="6">
        <v>144</v>
      </c>
    </row>
    <row r="9" spans="1:17" hidden="1" x14ac:dyDescent="0.45">
      <c r="A9" s="12" t="s">
        <v>15</v>
      </c>
      <c r="B9" s="12" t="s">
        <v>16</v>
      </c>
      <c r="C9" s="12">
        <v>3</v>
      </c>
      <c r="E9" t="s">
        <v>98</v>
      </c>
      <c r="F9" s="12" t="s">
        <v>25</v>
      </c>
      <c r="G9" s="12">
        <v>162</v>
      </c>
      <c r="H9" s="12" t="s">
        <v>18</v>
      </c>
      <c r="I9" s="12"/>
      <c r="J9" s="12"/>
      <c r="K9" s="12">
        <v>1</v>
      </c>
      <c r="L9" s="12">
        <v>2</v>
      </c>
      <c r="M9" s="12">
        <v>4</v>
      </c>
      <c r="N9" s="12" t="s">
        <v>19</v>
      </c>
      <c r="O9" s="12" t="s">
        <v>20</v>
      </c>
      <c r="P9" s="12">
        <v>21</v>
      </c>
      <c r="Q9" s="6">
        <v>124</v>
      </c>
    </row>
    <row r="10" spans="1:17" hidden="1" x14ac:dyDescent="0.45">
      <c r="A10" s="12" t="s">
        <v>15</v>
      </c>
      <c r="B10" s="12" t="s">
        <v>24</v>
      </c>
      <c r="C10" s="12">
        <v>4</v>
      </c>
      <c r="E10" t="s">
        <v>143</v>
      </c>
      <c r="F10" s="12" t="s">
        <v>25</v>
      </c>
      <c r="G10" s="12">
        <v>81</v>
      </c>
      <c r="H10" s="12" t="s">
        <v>18</v>
      </c>
      <c r="I10" s="12"/>
      <c r="J10" s="12"/>
      <c r="K10" s="12">
        <v>2</v>
      </c>
      <c r="L10" s="12">
        <v>2</v>
      </c>
      <c r="M10" s="12">
        <v>7</v>
      </c>
      <c r="N10" s="12" t="s">
        <v>21</v>
      </c>
      <c r="O10" s="12" t="s">
        <v>20</v>
      </c>
      <c r="P10" s="12">
        <v>18</v>
      </c>
      <c r="Q10" s="6">
        <v>130</v>
      </c>
    </row>
    <row r="11" spans="1:17" hidden="1" x14ac:dyDescent="0.45">
      <c r="A11" s="12" t="s">
        <v>15</v>
      </c>
      <c r="B11" s="12" t="s">
        <v>24</v>
      </c>
      <c r="C11" s="12">
        <v>5</v>
      </c>
      <c r="E11" t="s">
        <v>144</v>
      </c>
      <c r="F11" s="12" t="s">
        <v>25</v>
      </c>
      <c r="G11" s="12">
        <v>64</v>
      </c>
      <c r="H11" s="12" t="s">
        <v>18</v>
      </c>
      <c r="I11" s="12"/>
      <c r="J11" s="12"/>
      <c r="K11" s="12">
        <v>2</v>
      </c>
      <c r="L11" s="12">
        <v>3</v>
      </c>
      <c r="M11" s="12">
        <v>6</v>
      </c>
      <c r="N11" s="12" t="s">
        <v>19</v>
      </c>
      <c r="O11" s="12" t="s">
        <v>22</v>
      </c>
      <c r="P11" s="12">
        <v>14</v>
      </c>
      <c r="Q11" s="6">
        <v>148</v>
      </c>
    </row>
    <row r="12" spans="1:17" hidden="1" x14ac:dyDescent="0.45">
      <c r="A12" s="12" t="s">
        <v>15</v>
      </c>
      <c r="B12" s="12" t="s">
        <v>16</v>
      </c>
      <c r="C12" s="12">
        <v>5</v>
      </c>
      <c r="E12" t="s">
        <v>145</v>
      </c>
      <c r="F12" s="12" t="s">
        <v>25</v>
      </c>
      <c r="G12" s="12">
        <v>163</v>
      </c>
      <c r="H12" s="12" t="s">
        <v>18</v>
      </c>
      <c r="I12" s="12"/>
      <c r="J12" s="12"/>
      <c r="K12" s="12">
        <v>2</v>
      </c>
      <c r="L12" s="12">
        <v>2</v>
      </c>
      <c r="M12" s="12">
        <v>3</v>
      </c>
      <c r="N12" s="12" t="s">
        <v>21</v>
      </c>
      <c r="O12" s="12" t="s">
        <v>20</v>
      </c>
      <c r="P12" s="12">
        <v>12</v>
      </c>
      <c r="Q12" s="6">
        <v>125</v>
      </c>
    </row>
    <row r="13" spans="1:17" hidden="1" x14ac:dyDescent="0.45">
      <c r="A13" s="12" t="s">
        <v>15</v>
      </c>
      <c r="B13" s="12" t="s">
        <v>16</v>
      </c>
      <c r="C13" s="12">
        <v>6</v>
      </c>
      <c r="E13" t="s">
        <v>146</v>
      </c>
      <c r="F13" s="12" t="s">
        <v>25</v>
      </c>
      <c r="G13" s="12">
        <v>180</v>
      </c>
      <c r="H13" s="12" t="s">
        <v>18</v>
      </c>
      <c r="I13" s="12"/>
      <c r="J13" s="12"/>
      <c r="K13" s="12">
        <v>2</v>
      </c>
      <c r="L13" s="12">
        <v>1</v>
      </c>
      <c r="M13" s="12">
        <v>4</v>
      </c>
      <c r="N13" s="12" t="s">
        <v>19</v>
      </c>
      <c r="O13" s="12" t="s">
        <v>23</v>
      </c>
      <c r="P13" s="12">
        <v>16</v>
      </c>
      <c r="Q13" s="6">
        <v>101</v>
      </c>
    </row>
    <row r="14" spans="1:17" hidden="1" x14ac:dyDescent="0.45">
      <c r="A14" s="12" t="s">
        <v>15</v>
      </c>
      <c r="B14" s="12" t="s">
        <v>24</v>
      </c>
      <c r="C14" s="12">
        <v>6</v>
      </c>
      <c r="E14" t="s">
        <v>147</v>
      </c>
      <c r="F14" s="12" t="s">
        <v>25</v>
      </c>
      <c r="G14" s="12">
        <v>92</v>
      </c>
      <c r="H14" s="12" t="s">
        <v>18</v>
      </c>
      <c r="I14" s="12"/>
      <c r="J14" s="12"/>
      <c r="K14" s="12">
        <v>2</v>
      </c>
      <c r="L14" s="12">
        <v>3</v>
      </c>
      <c r="M14" s="12">
        <v>4</v>
      </c>
      <c r="N14" s="12" t="s">
        <v>19</v>
      </c>
      <c r="O14" s="12" t="s">
        <v>22</v>
      </c>
      <c r="P14" s="12">
        <v>17</v>
      </c>
      <c r="Q14" s="6">
        <v>140</v>
      </c>
    </row>
    <row r="15" spans="1:17" hidden="1" x14ac:dyDescent="0.45">
      <c r="A15" s="12" t="s">
        <v>15</v>
      </c>
      <c r="B15" s="12" t="s">
        <v>16</v>
      </c>
      <c r="C15" s="12">
        <v>7</v>
      </c>
      <c r="E15" t="s">
        <v>148</v>
      </c>
      <c r="F15" s="12" t="s">
        <v>25</v>
      </c>
      <c r="G15" s="12">
        <v>190</v>
      </c>
      <c r="H15" s="12" t="s">
        <v>18</v>
      </c>
      <c r="I15" s="12"/>
      <c r="J15" s="12"/>
      <c r="K15" s="12">
        <v>2</v>
      </c>
      <c r="L15" s="12">
        <v>3</v>
      </c>
      <c r="M15" s="12">
        <v>7</v>
      </c>
      <c r="N15" s="12" t="s">
        <v>21</v>
      </c>
      <c r="O15" s="12" t="s">
        <v>22</v>
      </c>
      <c r="P15" s="12">
        <v>15</v>
      </c>
      <c r="Q15" s="6">
        <v>141</v>
      </c>
    </row>
    <row r="16" spans="1:17" hidden="1" x14ac:dyDescent="0.45">
      <c r="A16" s="12" t="s">
        <v>15</v>
      </c>
      <c r="B16" s="12" t="s">
        <v>24</v>
      </c>
      <c r="C16" s="12">
        <v>7</v>
      </c>
      <c r="E16" t="s">
        <v>149</v>
      </c>
      <c r="F16" s="12" t="s">
        <v>25</v>
      </c>
      <c r="G16" s="12">
        <v>60</v>
      </c>
      <c r="H16" s="12" t="s">
        <v>18</v>
      </c>
      <c r="I16" s="12"/>
      <c r="J16" s="12"/>
      <c r="K16" s="12">
        <v>2</v>
      </c>
      <c r="L16" s="12">
        <v>1</v>
      </c>
      <c r="M16" s="12">
        <v>3</v>
      </c>
      <c r="N16" s="12" t="s">
        <v>21</v>
      </c>
      <c r="O16" s="12" t="s">
        <v>23</v>
      </c>
      <c r="P16" s="12">
        <v>19</v>
      </c>
      <c r="Q16" s="6">
        <v>110</v>
      </c>
    </row>
    <row r="17" spans="1:17" hidden="1" x14ac:dyDescent="0.45">
      <c r="A17" s="12" t="s">
        <v>15</v>
      </c>
      <c r="B17" s="12" t="s">
        <v>24</v>
      </c>
      <c r="C17" s="12">
        <v>8</v>
      </c>
      <c r="E17" t="s">
        <v>150</v>
      </c>
      <c r="F17" s="12" t="s">
        <v>25</v>
      </c>
      <c r="G17" s="12">
        <v>61</v>
      </c>
      <c r="H17" s="12" t="s">
        <v>18</v>
      </c>
      <c r="I17" s="12"/>
      <c r="J17" s="12"/>
      <c r="K17" s="12">
        <v>2</v>
      </c>
      <c r="L17" s="12">
        <v>2</v>
      </c>
      <c r="M17" s="15"/>
      <c r="N17" s="12"/>
      <c r="O17" s="12" t="s">
        <v>20</v>
      </c>
      <c r="P17" s="12">
        <v>20</v>
      </c>
      <c r="Q17" s="6">
        <v>129</v>
      </c>
    </row>
    <row r="18" spans="1:17" x14ac:dyDescent="0.45">
      <c r="A18" s="12" t="s">
        <v>15</v>
      </c>
      <c r="B18" s="12" t="s">
        <v>16</v>
      </c>
      <c r="C18" s="12">
        <v>8</v>
      </c>
      <c r="E18" t="s">
        <v>124</v>
      </c>
      <c r="F18" s="12" t="s">
        <v>25</v>
      </c>
      <c r="G18" s="12">
        <v>170</v>
      </c>
      <c r="H18" s="12" t="s">
        <v>18</v>
      </c>
      <c r="I18" s="12"/>
      <c r="J18" s="12"/>
      <c r="K18" s="12">
        <v>2</v>
      </c>
      <c r="L18" s="12">
        <v>1</v>
      </c>
      <c r="M18" s="12">
        <v>2</v>
      </c>
      <c r="N18" s="12" t="s">
        <v>19</v>
      </c>
      <c r="O18" s="12" t="s">
        <v>23</v>
      </c>
      <c r="P18" s="12">
        <v>11</v>
      </c>
      <c r="Q18" s="6">
        <v>109</v>
      </c>
    </row>
    <row r="19" spans="1:17" s="22" customFormat="1" hidden="1" x14ac:dyDescent="0.45">
      <c r="A19" s="21" t="s">
        <v>15</v>
      </c>
      <c r="B19" s="21" t="s">
        <v>16</v>
      </c>
      <c r="C19" s="21">
        <v>9</v>
      </c>
      <c r="E19" s="22" t="s">
        <v>151</v>
      </c>
      <c r="F19" s="21" t="s">
        <v>17</v>
      </c>
      <c r="G19" s="21">
        <v>120</v>
      </c>
      <c r="H19" s="21" t="s">
        <v>18</v>
      </c>
      <c r="I19" s="21"/>
      <c r="J19" s="21"/>
      <c r="K19" s="21">
        <v>1</v>
      </c>
      <c r="L19" s="21">
        <v>3</v>
      </c>
      <c r="M19" s="21">
        <v>5</v>
      </c>
      <c r="N19" s="21" t="s">
        <v>21</v>
      </c>
      <c r="O19" s="21" t="s">
        <v>22</v>
      </c>
      <c r="P19" s="21">
        <v>85</v>
      </c>
      <c r="Q19" s="23">
        <v>142</v>
      </c>
    </row>
    <row r="20" spans="1:17" s="22" customFormat="1" hidden="1" x14ac:dyDescent="0.45">
      <c r="A20" s="21" t="s">
        <v>15</v>
      </c>
      <c r="B20" s="21" t="s">
        <v>16</v>
      </c>
      <c r="C20" s="21">
        <v>10</v>
      </c>
      <c r="E20" s="22" t="s">
        <v>152</v>
      </c>
      <c r="F20" s="21" t="s">
        <v>25</v>
      </c>
      <c r="G20" s="21">
        <v>123</v>
      </c>
      <c r="H20" s="21" t="s">
        <v>18</v>
      </c>
      <c r="I20" s="21"/>
      <c r="J20" s="21"/>
      <c r="K20" s="21">
        <v>3</v>
      </c>
      <c r="L20" s="21">
        <v>1</v>
      </c>
      <c r="M20" s="21">
        <v>5</v>
      </c>
      <c r="N20" s="21" t="s">
        <v>21</v>
      </c>
      <c r="O20" s="21" t="s">
        <v>23</v>
      </c>
      <c r="P20" s="21">
        <v>9</v>
      </c>
      <c r="Q20" s="23">
        <v>103</v>
      </c>
    </row>
    <row r="21" spans="1:17" hidden="1" x14ac:dyDescent="0.45">
      <c r="A21" s="12" t="s">
        <v>15</v>
      </c>
      <c r="B21" s="12" t="s">
        <v>24</v>
      </c>
      <c r="C21" s="12">
        <v>10</v>
      </c>
      <c r="E21" t="s">
        <v>153</v>
      </c>
      <c r="F21" s="12" t="s">
        <v>25</v>
      </c>
      <c r="G21" s="12">
        <v>60</v>
      </c>
      <c r="H21" s="12" t="s">
        <v>18</v>
      </c>
      <c r="I21" s="12"/>
      <c r="J21" s="12"/>
      <c r="K21" s="12">
        <v>1</v>
      </c>
      <c r="L21" s="12">
        <v>1</v>
      </c>
      <c r="M21" s="8"/>
      <c r="N21" s="12"/>
      <c r="O21" s="12" t="s">
        <v>23</v>
      </c>
      <c r="P21" s="12" t="s">
        <v>154</v>
      </c>
      <c r="Q21" s="6">
        <v>111</v>
      </c>
    </row>
    <row r="22" spans="1:17" hidden="1" x14ac:dyDescent="0.45">
      <c r="A22" s="12" t="s">
        <v>15</v>
      </c>
      <c r="B22" s="12" t="s">
        <v>16</v>
      </c>
      <c r="C22" s="12">
        <v>11</v>
      </c>
      <c r="E22" t="s">
        <v>155</v>
      </c>
      <c r="F22" s="12" t="s">
        <v>25</v>
      </c>
      <c r="G22" s="12">
        <v>150</v>
      </c>
      <c r="H22" s="12" t="s">
        <v>18</v>
      </c>
      <c r="I22" s="12"/>
      <c r="J22" s="12"/>
      <c r="K22" s="12">
        <v>3</v>
      </c>
      <c r="L22" s="12">
        <v>3</v>
      </c>
      <c r="M22" s="12">
        <v>2</v>
      </c>
      <c r="N22" s="12" t="s">
        <v>19</v>
      </c>
      <c r="O22" s="12" t="s">
        <v>22</v>
      </c>
      <c r="P22" s="12">
        <v>4</v>
      </c>
      <c r="Q22" s="6">
        <v>150</v>
      </c>
    </row>
    <row r="23" spans="1:17" hidden="1" x14ac:dyDescent="0.45">
      <c r="A23" s="12" t="s">
        <v>15</v>
      </c>
      <c r="B23" s="12" t="s">
        <v>16</v>
      </c>
      <c r="C23" s="12">
        <v>12</v>
      </c>
      <c r="E23" t="s">
        <v>156</v>
      </c>
      <c r="F23" s="12" t="s">
        <v>25</v>
      </c>
      <c r="G23" s="12">
        <v>130</v>
      </c>
      <c r="H23" s="12" t="s">
        <v>18</v>
      </c>
      <c r="I23" s="12"/>
      <c r="J23" s="12"/>
      <c r="K23" s="12">
        <v>3</v>
      </c>
      <c r="L23" s="12">
        <v>2</v>
      </c>
      <c r="M23" s="12">
        <v>2</v>
      </c>
      <c r="N23" s="12" t="s">
        <v>19</v>
      </c>
      <c r="O23" s="12" t="s">
        <v>20</v>
      </c>
      <c r="P23" s="12">
        <v>7</v>
      </c>
      <c r="Q23" s="6">
        <v>127</v>
      </c>
    </row>
    <row r="24" spans="1:17" hidden="1" x14ac:dyDescent="0.45">
      <c r="A24" s="12" t="s">
        <v>15</v>
      </c>
      <c r="B24" s="12" t="s">
        <v>16</v>
      </c>
      <c r="C24" s="12">
        <v>13</v>
      </c>
      <c r="E24" t="s">
        <v>157</v>
      </c>
      <c r="F24" s="12" t="s">
        <v>25</v>
      </c>
      <c r="G24" s="12">
        <v>140</v>
      </c>
      <c r="H24" s="12" t="s">
        <v>18</v>
      </c>
      <c r="I24" s="12"/>
      <c r="J24" s="12"/>
      <c r="K24" s="12">
        <v>4</v>
      </c>
      <c r="L24" s="12">
        <v>1</v>
      </c>
      <c r="M24" s="12">
        <v>3</v>
      </c>
      <c r="N24" s="12" t="s">
        <v>21</v>
      </c>
      <c r="O24" s="12" t="s">
        <v>23</v>
      </c>
      <c r="P24" s="12">
        <v>1</v>
      </c>
      <c r="Q24" s="6">
        <v>100</v>
      </c>
    </row>
    <row r="25" spans="1:17" hidden="1" x14ac:dyDescent="0.45">
      <c r="A25" s="12" t="s">
        <v>15</v>
      </c>
      <c r="B25" s="12" t="s">
        <v>16</v>
      </c>
      <c r="C25" s="12">
        <v>14</v>
      </c>
      <c r="E25" t="s">
        <v>158</v>
      </c>
      <c r="F25" s="12" t="s">
        <v>25</v>
      </c>
      <c r="G25" s="12">
        <v>130</v>
      </c>
      <c r="H25" s="12" t="s">
        <v>18</v>
      </c>
      <c r="I25" s="12"/>
      <c r="J25" s="12"/>
      <c r="K25" s="12">
        <v>3</v>
      </c>
      <c r="L25" s="12">
        <v>3</v>
      </c>
      <c r="M25" s="12">
        <v>6</v>
      </c>
      <c r="N25" s="12" t="s">
        <v>19</v>
      </c>
      <c r="O25" s="12" t="s">
        <v>22</v>
      </c>
      <c r="P25" s="12">
        <v>3</v>
      </c>
      <c r="Q25" s="6">
        <v>149</v>
      </c>
    </row>
    <row r="26" spans="1:17" hidden="1" x14ac:dyDescent="0.45">
      <c r="A26" s="12" t="s">
        <v>15</v>
      </c>
      <c r="B26" s="12" t="s">
        <v>16</v>
      </c>
      <c r="C26" s="12">
        <v>15</v>
      </c>
      <c r="E26" t="s">
        <v>159</v>
      </c>
      <c r="F26" s="12" t="s">
        <v>25</v>
      </c>
      <c r="G26" s="12">
        <v>115</v>
      </c>
      <c r="H26" s="12" t="s">
        <v>18</v>
      </c>
      <c r="I26" s="12"/>
      <c r="J26" s="12"/>
      <c r="K26" s="12">
        <v>3</v>
      </c>
      <c r="L26" s="12">
        <v>3</v>
      </c>
      <c r="M26" s="12">
        <v>7</v>
      </c>
      <c r="N26" s="12" t="s">
        <v>21</v>
      </c>
      <c r="O26" s="12" t="s">
        <v>22</v>
      </c>
      <c r="P26" s="12">
        <v>10</v>
      </c>
      <c r="Q26" s="6">
        <v>144</v>
      </c>
    </row>
    <row r="27" spans="1:17" s="22" customFormat="1" hidden="1" x14ac:dyDescent="0.45">
      <c r="A27" s="21" t="s">
        <v>15</v>
      </c>
      <c r="B27" s="21" t="s">
        <v>16</v>
      </c>
      <c r="C27" s="21">
        <v>16</v>
      </c>
      <c r="E27" s="22" t="s">
        <v>160</v>
      </c>
      <c r="F27" s="21" t="s">
        <v>25</v>
      </c>
      <c r="G27" s="21">
        <v>130</v>
      </c>
      <c r="H27" s="21" t="s">
        <v>18</v>
      </c>
      <c r="I27" s="21"/>
      <c r="J27" s="21"/>
      <c r="K27" s="21">
        <v>3</v>
      </c>
      <c r="L27" s="21">
        <v>2</v>
      </c>
      <c r="M27" s="21">
        <v>5</v>
      </c>
      <c r="N27" s="21" t="s">
        <v>21</v>
      </c>
      <c r="O27" s="21" t="s">
        <v>20</v>
      </c>
      <c r="P27" s="21">
        <v>5</v>
      </c>
      <c r="Q27" s="23">
        <v>122</v>
      </c>
    </row>
    <row r="28" spans="1:17" hidden="1" x14ac:dyDescent="0.45">
      <c r="A28" s="12" t="s">
        <v>15</v>
      </c>
      <c r="B28" s="12" t="s">
        <v>26</v>
      </c>
      <c r="C28" s="12">
        <v>17</v>
      </c>
      <c r="E28" t="s">
        <v>161</v>
      </c>
      <c r="F28" s="12" t="s">
        <v>27</v>
      </c>
      <c r="G28" s="12">
        <v>190</v>
      </c>
      <c r="H28" s="12" t="s">
        <v>28</v>
      </c>
      <c r="I28" s="12" t="s">
        <v>29</v>
      </c>
      <c r="J28" s="12"/>
      <c r="K28" s="12"/>
      <c r="L28" s="12">
        <v>5</v>
      </c>
      <c r="M28" s="12">
        <v>6</v>
      </c>
      <c r="N28" s="12" t="s">
        <v>19</v>
      </c>
      <c r="O28" s="12" t="s">
        <v>23</v>
      </c>
      <c r="P28" s="12">
        <v>49</v>
      </c>
      <c r="Q28" s="6">
        <v>112</v>
      </c>
    </row>
    <row r="29" spans="1:17" hidden="1" x14ac:dyDescent="0.45">
      <c r="A29" s="12" t="s">
        <v>15</v>
      </c>
      <c r="B29" s="12" t="s">
        <v>26</v>
      </c>
      <c r="C29" s="12">
        <v>18</v>
      </c>
      <c r="E29" t="s">
        <v>162</v>
      </c>
      <c r="F29" s="12" t="s">
        <v>27</v>
      </c>
      <c r="G29" s="12">
        <v>120</v>
      </c>
      <c r="H29" s="12" t="s">
        <v>28</v>
      </c>
      <c r="I29" s="12" t="s">
        <v>30</v>
      </c>
      <c r="J29" s="12"/>
      <c r="K29" s="12"/>
      <c r="L29" s="12">
        <v>5</v>
      </c>
      <c r="M29" s="12">
        <v>4</v>
      </c>
      <c r="N29" s="12" t="s">
        <v>19</v>
      </c>
      <c r="O29" s="12" t="s">
        <v>23</v>
      </c>
      <c r="P29" s="12">
        <v>50</v>
      </c>
      <c r="Q29" s="6">
        <v>115</v>
      </c>
    </row>
    <row r="30" spans="1:17" s="22" customFormat="1" hidden="1" x14ac:dyDescent="0.45">
      <c r="A30" s="21" t="s">
        <v>15</v>
      </c>
      <c r="B30" s="21" t="s">
        <v>26</v>
      </c>
      <c r="C30" s="21">
        <v>19</v>
      </c>
      <c r="E30" s="22" t="s">
        <v>163</v>
      </c>
      <c r="F30" s="21" t="s">
        <v>27</v>
      </c>
      <c r="G30" s="21">
        <v>150</v>
      </c>
      <c r="H30" s="21" t="s">
        <v>28</v>
      </c>
      <c r="I30" s="21" t="s">
        <v>31</v>
      </c>
      <c r="J30" s="21"/>
      <c r="K30" s="21"/>
      <c r="L30" s="21">
        <v>6</v>
      </c>
      <c r="M30" s="21">
        <v>5</v>
      </c>
      <c r="N30" s="21" t="s">
        <v>21</v>
      </c>
      <c r="O30" s="21" t="s">
        <v>20</v>
      </c>
      <c r="P30" s="21">
        <v>51</v>
      </c>
      <c r="Q30" s="23">
        <v>136</v>
      </c>
    </row>
    <row r="31" spans="1:17" hidden="1" x14ac:dyDescent="0.45">
      <c r="A31" s="12" t="s">
        <v>15</v>
      </c>
      <c r="B31" s="12" t="s">
        <v>26</v>
      </c>
      <c r="C31" s="12">
        <v>20</v>
      </c>
      <c r="E31" t="s">
        <v>164</v>
      </c>
      <c r="F31" s="12" t="s">
        <v>27</v>
      </c>
      <c r="G31" s="12">
        <v>270</v>
      </c>
      <c r="H31" s="12" t="s">
        <v>28</v>
      </c>
      <c r="I31" s="12" t="s">
        <v>32</v>
      </c>
      <c r="J31" s="12"/>
      <c r="K31" s="12"/>
      <c r="L31" s="12">
        <v>7</v>
      </c>
      <c r="M31" s="12">
        <v>4</v>
      </c>
      <c r="N31" s="12" t="s">
        <v>19</v>
      </c>
      <c r="O31" s="12" t="s">
        <v>22</v>
      </c>
      <c r="P31" s="12">
        <v>52</v>
      </c>
      <c r="Q31" s="6">
        <v>153</v>
      </c>
    </row>
    <row r="32" spans="1:17" hidden="1" x14ac:dyDescent="0.45">
      <c r="A32" s="12" t="s">
        <v>15</v>
      </c>
      <c r="B32" s="12" t="s">
        <v>26</v>
      </c>
      <c r="C32" s="12">
        <v>21</v>
      </c>
      <c r="E32" t="s">
        <v>165</v>
      </c>
      <c r="F32" s="12" t="s">
        <v>27</v>
      </c>
      <c r="G32" s="12">
        <v>240</v>
      </c>
      <c r="H32" s="12" t="s">
        <v>28</v>
      </c>
      <c r="I32" s="12" t="s">
        <v>33</v>
      </c>
      <c r="J32" s="12"/>
      <c r="K32" s="12"/>
      <c r="L32" s="12">
        <v>6</v>
      </c>
      <c r="M32" s="12">
        <v>2</v>
      </c>
      <c r="N32" s="12" t="s">
        <v>19</v>
      </c>
      <c r="O32" s="12" t="s">
        <v>20</v>
      </c>
      <c r="P32" s="12">
        <v>53</v>
      </c>
      <c r="Q32" s="6">
        <v>137</v>
      </c>
    </row>
    <row r="33" spans="1:17" s="25" customFormat="1" hidden="1" x14ac:dyDescent="0.45">
      <c r="A33" s="24" t="s">
        <v>15</v>
      </c>
      <c r="B33" s="24" t="s">
        <v>26</v>
      </c>
      <c r="C33" s="24">
        <v>22</v>
      </c>
      <c r="E33" s="25" t="s">
        <v>95</v>
      </c>
      <c r="F33" s="24" t="s">
        <v>27</v>
      </c>
      <c r="G33" s="24">
        <v>250</v>
      </c>
      <c r="H33" s="24" t="s">
        <v>28</v>
      </c>
      <c r="I33" s="24" t="s">
        <v>34</v>
      </c>
      <c r="J33" s="24"/>
      <c r="K33" s="24"/>
      <c r="L33" s="24">
        <v>7</v>
      </c>
      <c r="M33" s="24">
        <v>5</v>
      </c>
      <c r="N33" s="24" t="s">
        <v>21</v>
      </c>
      <c r="O33" s="24" t="s">
        <v>22</v>
      </c>
      <c r="P33" s="24">
        <v>54</v>
      </c>
      <c r="Q33" s="26">
        <v>155</v>
      </c>
    </row>
    <row r="34" spans="1:17" x14ac:dyDescent="0.45">
      <c r="A34" s="12" t="s">
        <v>15</v>
      </c>
      <c r="B34" s="12" t="s">
        <v>26</v>
      </c>
      <c r="C34" s="12">
        <v>23</v>
      </c>
      <c r="E34" t="s">
        <v>122</v>
      </c>
      <c r="F34" s="12" t="s">
        <v>27</v>
      </c>
      <c r="G34" s="12">
        <v>240</v>
      </c>
      <c r="H34" s="12" t="s">
        <v>28</v>
      </c>
      <c r="I34" s="12" t="s">
        <v>35</v>
      </c>
      <c r="J34" s="12"/>
      <c r="K34" s="12"/>
      <c r="L34" s="12">
        <v>5</v>
      </c>
      <c r="M34" s="12">
        <v>2</v>
      </c>
      <c r="N34" s="12" t="s">
        <v>19</v>
      </c>
      <c r="O34" s="12" t="s">
        <v>23</v>
      </c>
      <c r="P34" s="12">
        <v>55</v>
      </c>
      <c r="Q34" s="6">
        <v>116</v>
      </c>
    </row>
    <row r="35" spans="1:17" hidden="1" x14ac:dyDescent="0.45">
      <c r="A35" s="12" t="s">
        <v>15</v>
      </c>
      <c r="B35" s="12" t="s">
        <v>26</v>
      </c>
      <c r="C35" s="12">
        <v>24</v>
      </c>
      <c r="E35" t="s">
        <v>166</v>
      </c>
      <c r="F35" s="12" t="s">
        <v>27</v>
      </c>
      <c r="G35" s="12">
        <v>200</v>
      </c>
      <c r="H35" s="12" t="s">
        <v>28</v>
      </c>
      <c r="I35" s="12" t="s">
        <v>36</v>
      </c>
      <c r="J35" s="12"/>
      <c r="K35" s="12"/>
      <c r="L35" s="12">
        <v>6</v>
      </c>
      <c r="M35" s="12">
        <v>6</v>
      </c>
      <c r="N35" s="12" t="s">
        <v>19</v>
      </c>
      <c r="O35" s="12" t="s">
        <v>20</v>
      </c>
      <c r="P35" s="12">
        <v>56</v>
      </c>
      <c r="Q35" s="6">
        <v>131</v>
      </c>
    </row>
    <row r="36" spans="1:17" hidden="1" x14ac:dyDescent="0.45">
      <c r="A36" s="12" t="s">
        <v>15</v>
      </c>
      <c r="B36" s="12" t="s">
        <v>26</v>
      </c>
      <c r="C36" s="12">
        <v>25</v>
      </c>
      <c r="E36" t="s">
        <v>167</v>
      </c>
      <c r="F36" s="12" t="s">
        <v>27</v>
      </c>
      <c r="G36" s="12">
        <v>160</v>
      </c>
      <c r="H36" s="12" t="s">
        <v>28</v>
      </c>
      <c r="I36" s="12" t="s">
        <v>37</v>
      </c>
      <c r="J36" s="12"/>
      <c r="K36" s="12"/>
      <c r="L36" s="12">
        <v>7</v>
      </c>
      <c r="M36" s="12">
        <v>2</v>
      </c>
      <c r="N36" s="12" t="s">
        <v>19</v>
      </c>
      <c r="O36" s="12" t="s">
        <v>22</v>
      </c>
      <c r="P36" s="12">
        <v>57</v>
      </c>
      <c r="Q36" s="6">
        <v>156</v>
      </c>
    </row>
    <row r="37" spans="1:17" hidden="1" x14ac:dyDescent="0.45">
      <c r="A37" s="12" t="s">
        <v>15</v>
      </c>
      <c r="B37" s="12" t="s">
        <v>26</v>
      </c>
      <c r="C37" s="12">
        <v>26</v>
      </c>
      <c r="E37" t="s">
        <v>168</v>
      </c>
      <c r="F37" s="12" t="s">
        <v>27</v>
      </c>
      <c r="G37" s="12">
        <v>190</v>
      </c>
      <c r="H37" s="12" t="s">
        <v>28</v>
      </c>
      <c r="I37" s="12" t="s">
        <v>38</v>
      </c>
      <c r="J37" s="12"/>
      <c r="K37" s="12"/>
      <c r="L37" s="12">
        <v>5</v>
      </c>
      <c r="M37" s="12">
        <v>3</v>
      </c>
      <c r="N37" s="12" t="s">
        <v>21</v>
      </c>
      <c r="O37" s="12" t="s">
        <v>23</v>
      </c>
      <c r="P37" s="12">
        <v>58</v>
      </c>
      <c r="Q37" s="6">
        <v>114</v>
      </c>
    </row>
    <row r="38" spans="1:17" hidden="1" x14ac:dyDescent="0.45">
      <c r="A38" s="12" t="s">
        <v>15</v>
      </c>
      <c r="B38" s="12" t="s">
        <v>26</v>
      </c>
      <c r="C38" s="12">
        <v>27</v>
      </c>
      <c r="E38" t="s">
        <v>169</v>
      </c>
      <c r="F38" s="12" t="s">
        <v>27</v>
      </c>
      <c r="G38" s="12">
        <v>210</v>
      </c>
      <c r="H38" s="12" t="s">
        <v>28</v>
      </c>
      <c r="I38" s="12" t="s">
        <v>39</v>
      </c>
      <c r="J38" s="12"/>
      <c r="K38" s="12"/>
      <c r="L38" s="12">
        <v>6</v>
      </c>
      <c r="M38" s="12">
        <v>3</v>
      </c>
      <c r="N38" s="12" t="s">
        <v>21</v>
      </c>
      <c r="O38" s="12" t="s">
        <v>20</v>
      </c>
      <c r="P38" s="12">
        <v>59</v>
      </c>
      <c r="Q38" s="6">
        <v>135</v>
      </c>
    </row>
    <row r="39" spans="1:17" hidden="1" x14ac:dyDescent="0.45">
      <c r="A39" s="12" t="s">
        <v>15</v>
      </c>
      <c r="B39" s="12" t="s">
        <v>26</v>
      </c>
      <c r="C39" s="12">
        <v>28</v>
      </c>
      <c r="E39" t="s">
        <v>128</v>
      </c>
      <c r="F39" s="12" t="s">
        <v>27</v>
      </c>
      <c r="G39" s="12">
        <v>320</v>
      </c>
      <c r="H39" s="12" t="s">
        <v>28</v>
      </c>
      <c r="I39" s="12" t="s">
        <v>40</v>
      </c>
      <c r="J39" s="12"/>
      <c r="K39" s="12"/>
      <c r="L39" s="12">
        <v>7</v>
      </c>
      <c r="M39" s="12">
        <v>6</v>
      </c>
      <c r="N39" s="12" t="s">
        <v>19</v>
      </c>
      <c r="O39" s="12" t="s">
        <v>22</v>
      </c>
      <c r="P39" s="12">
        <v>60</v>
      </c>
      <c r="Q39" s="6">
        <v>151</v>
      </c>
    </row>
    <row r="40" spans="1:17" s="25" customFormat="1" hidden="1" x14ac:dyDescent="0.45">
      <c r="A40" s="24" t="s">
        <v>15</v>
      </c>
      <c r="B40" s="24" t="s">
        <v>26</v>
      </c>
      <c r="C40" s="24">
        <v>29</v>
      </c>
      <c r="E40" s="25" t="s">
        <v>101</v>
      </c>
      <c r="F40" s="24" t="s">
        <v>27</v>
      </c>
      <c r="G40" s="24">
        <v>230</v>
      </c>
      <c r="H40" s="24" t="s">
        <v>28</v>
      </c>
      <c r="I40" s="24" t="s">
        <v>41</v>
      </c>
      <c r="J40" s="24"/>
      <c r="K40" s="24"/>
      <c r="L40" s="24">
        <v>5</v>
      </c>
      <c r="M40" s="24">
        <v>5</v>
      </c>
      <c r="N40" s="24" t="s">
        <v>21</v>
      </c>
      <c r="O40" s="24" t="s">
        <v>23</v>
      </c>
      <c r="P40" s="24">
        <v>61</v>
      </c>
      <c r="Q40" s="26">
        <v>113</v>
      </c>
    </row>
    <row r="41" spans="1:17" hidden="1" x14ac:dyDescent="0.45">
      <c r="A41" s="12" t="s">
        <v>15</v>
      </c>
      <c r="B41" s="12" t="s">
        <v>26</v>
      </c>
      <c r="C41" s="12">
        <v>30</v>
      </c>
      <c r="E41" t="s">
        <v>126</v>
      </c>
      <c r="F41" s="12" t="s">
        <v>27</v>
      </c>
      <c r="G41" s="12">
        <v>200</v>
      </c>
      <c r="H41" s="12" t="s">
        <v>28</v>
      </c>
      <c r="I41" s="12" t="s">
        <v>42</v>
      </c>
      <c r="J41" s="12"/>
      <c r="K41" s="12"/>
      <c r="L41" s="12">
        <v>6</v>
      </c>
      <c r="M41" s="12">
        <v>4</v>
      </c>
      <c r="N41" s="12" t="s">
        <v>19</v>
      </c>
      <c r="O41" s="12" t="s">
        <v>20</v>
      </c>
      <c r="P41" s="12">
        <v>62</v>
      </c>
      <c r="Q41" s="6">
        <v>134</v>
      </c>
    </row>
    <row r="42" spans="1:17" hidden="1" x14ac:dyDescent="0.45">
      <c r="A42" s="12" t="s">
        <v>15</v>
      </c>
      <c r="B42" s="12" t="s">
        <v>26</v>
      </c>
      <c r="C42" s="12">
        <v>31</v>
      </c>
      <c r="E42" t="s">
        <v>170</v>
      </c>
      <c r="F42" s="12" t="s">
        <v>27</v>
      </c>
      <c r="G42" s="12">
        <v>240</v>
      </c>
      <c r="H42" s="12" t="s">
        <v>28</v>
      </c>
      <c r="I42" s="12" t="s">
        <v>43</v>
      </c>
      <c r="J42" s="12"/>
      <c r="K42" s="12"/>
      <c r="L42" s="12">
        <v>7</v>
      </c>
      <c r="M42" s="12">
        <v>3</v>
      </c>
      <c r="N42" s="12" t="s">
        <v>21</v>
      </c>
      <c r="O42" s="12" t="s">
        <v>22</v>
      </c>
      <c r="P42" s="12">
        <v>63</v>
      </c>
      <c r="Q42" s="6">
        <v>152</v>
      </c>
    </row>
    <row r="43" spans="1:17" hidden="1" x14ac:dyDescent="0.45">
      <c r="A43" s="12" t="s">
        <v>15</v>
      </c>
      <c r="B43" s="12" t="s">
        <v>26</v>
      </c>
      <c r="C43" s="12">
        <v>32</v>
      </c>
      <c r="E43" t="s">
        <v>171</v>
      </c>
      <c r="F43" s="12" t="s">
        <v>27</v>
      </c>
      <c r="G43" s="12">
        <v>120</v>
      </c>
      <c r="H43" s="12" t="s">
        <v>28</v>
      </c>
      <c r="I43" s="12" t="s">
        <v>37</v>
      </c>
      <c r="J43" s="12"/>
      <c r="K43" s="12"/>
      <c r="L43" s="12">
        <v>5</v>
      </c>
      <c r="M43" s="12">
        <v>7</v>
      </c>
      <c r="N43" s="12" t="s">
        <v>21</v>
      </c>
      <c r="O43" s="12" t="s">
        <v>23</v>
      </c>
      <c r="P43" s="12">
        <v>64</v>
      </c>
      <c r="Q43" s="6">
        <v>117</v>
      </c>
    </row>
    <row r="44" spans="1:17" hidden="1" x14ac:dyDescent="0.45">
      <c r="A44" s="12" t="s">
        <v>15</v>
      </c>
      <c r="B44" s="12" t="s">
        <v>26</v>
      </c>
      <c r="C44" s="12">
        <v>33</v>
      </c>
      <c r="E44" t="s">
        <v>172</v>
      </c>
      <c r="F44" s="12" t="s">
        <v>27</v>
      </c>
      <c r="G44" s="12">
        <v>170</v>
      </c>
      <c r="H44" s="12" t="s">
        <v>28</v>
      </c>
      <c r="I44" s="12" t="s">
        <v>44</v>
      </c>
      <c r="J44" s="12"/>
      <c r="K44" s="12"/>
      <c r="L44" s="12">
        <v>6</v>
      </c>
      <c r="M44" s="12">
        <v>7</v>
      </c>
      <c r="N44" s="12" t="s">
        <v>21</v>
      </c>
      <c r="O44" s="12" t="s">
        <v>20</v>
      </c>
      <c r="P44" s="12">
        <v>65</v>
      </c>
      <c r="Q44" s="6">
        <v>133</v>
      </c>
    </row>
    <row r="45" spans="1:17" hidden="1" x14ac:dyDescent="0.45">
      <c r="A45" s="12" t="s">
        <v>15</v>
      </c>
      <c r="B45" s="12" t="s">
        <v>45</v>
      </c>
      <c r="C45" s="12">
        <v>34</v>
      </c>
      <c r="E45" t="s">
        <v>115</v>
      </c>
      <c r="F45" s="12" t="s">
        <v>27</v>
      </c>
      <c r="G45" s="12">
        <v>66</v>
      </c>
      <c r="H45" s="12" t="s">
        <v>28</v>
      </c>
      <c r="I45" s="12" t="s">
        <v>37</v>
      </c>
      <c r="J45" s="12"/>
      <c r="K45" s="12"/>
      <c r="L45" s="12">
        <v>7</v>
      </c>
      <c r="M45" s="12">
        <v>7</v>
      </c>
      <c r="N45" s="12" t="s">
        <v>21</v>
      </c>
      <c r="O45" s="12" t="s">
        <v>22</v>
      </c>
      <c r="P45" s="12">
        <v>66</v>
      </c>
      <c r="Q45" s="6">
        <v>157</v>
      </c>
    </row>
    <row r="46" spans="1:17" x14ac:dyDescent="0.45">
      <c r="A46" s="12" t="s">
        <v>15</v>
      </c>
      <c r="B46" s="12" t="s">
        <v>45</v>
      </c>
      <c r="C46" s="12">
        <v>35</v>
      </c>
      <c r="E46" t="s">
        <v>130</v>
      </c>
      <c r="F46" s="12" t="s">
        <v>27</v>
      </c>
      <c r="G46" s="12">
        <v>65</v>
      </c>
      <c r="H46" s="12" t="s">
        <v>28</v>
      </c>
      <c r="I46" s="12" t="s">
        <v>37</v>
      </c>
      <c r="J46" s="12"/>
      <c r="K46" s="12"/>
      <c r="L46" s="12">
        <v>5</v>
      </c>
      <c r="M46" s="12">
        <v>2</v>
      </c>
      <c r="N46" s="12" t="s">
        <v>19</v>
      </c>
      <c r="O46" s="12" t="s">
        <v>23</v>
      </c>
      <c r="P46" s="12">
        <v>67</v>
      </c>
      <c r="Q46" s="6">
        <v>118</v>
      </c>
    </row>
    <row r="47" spans="1:17" s="28" customFormat="1" hidden="1" x14ac:dyDescent="0.45">
      <c r="A47" s="27" t="s">
        <v>15</v>
      </c>
      <c r="B47" s="27" t="s">
        <v>45</v>
      </c>
      <c r="C47" s="27">
        <v>36</v>
      </c>
      <c r="E47" s="28" t="s">
        <v>173</v>
      </c>
      <c r="F47" s="27" t="s">
        <v>27</v>
      </c>
      <c r="G47" s="27">
        <v>175</v>
      </c>
      <c r="H47" s="27" t="s">
        <v>28</v>
      </c>
      <c r="I47" s="27" t="s">
        <v>46</v>
      </c>
      <c r="J47" s="27"/>
      <c r="K47" s="27"/>
      <c r="L47" s="27">
        <v>6</v>
      </c>
      <c r="M47" s="27">
        <v>5</v>
      </c>
      <c r="N47" s="27" t="s">
        <v>21</v>
      </c>
      <c r="O47" s="27" t="s">
        <v>20</v>
      </c>
      <c r="P47" s="27">
        <v>68</v>
      </c>
      <c r="Q47" s="29">
        <v>132</v>
      </c>
    </row>
    <row r="48" spans="1:17" hidden="1" x14ac:dyDescent="0.45">
      <c r="A48" s="12" t="s">
        <v>15</v>
      </c>
      <c r="B48" s="12" t="s">
        <v>45</v>
      </c>
      <c r="C48" s="12">
        <v>37</v>
      </c>
      <c r="E48" t="s">
        <v>118</v>
      </c>
      <c r="F48" s="12" t="s">
        <v>27</v>
      </c>
      <c r="G48" s="12">
        <v>200</v>
      </c>
      <c r="H48" s="12" t="s">
        <v>28</v>
      </c>
      <c r="I48" s="12" t="s">
        <v>47</v>
      </c>
      <c r="J48" s="12"/>
      <c r="K48" s="12"/>
      <c r="L48" s="12">
        <v>7</v>
      </c>
      <c r="M48" s="12">
        <v>3</v>
      </c>
      <c r="N48" s="12" t="s">
        <v>21</v>
      </c>
      <c r="O48" s="12" t="s">
        <v>22</v>
      </c>
      <c r="P48" s="12">
        <v>69</v>
      </c>
      <c r="Q48" s="6">
        <v>154</v>
      </c>
    </row>
    <row r="49" spans="1:17" hidden="1" x14ac:dyDescent="0.45">
      <c r="A49" s="12" t="s">
        <v>15</v>
      </c>
      <c r="B49" s="12" t="s">
        <v>45</v>
      </c>
      <c r="C49" s="12">
        <v>38</v>
      </c>
      <c r="E49" t="s">
        <v>174</v>
      </c>
      <c r="F49" s="12" t="s">
        <v>27</v>
      </c>
      <c r="G49" s="12">
        <v>40</v>
      </c>
      <c r="H49" s="12" t="s">
        <v>28</v>
      </c>
      <c r="I49" s="12" t="s">
        <v>37</v>
      </c>
      <c r="J49" s="12"/>
      <c r="K49" s="12"/>
      <c r="L49" s="12">
        <v>6</v>
      </c>
      <c r="M49" s="8"/>
      <c r="N49" s="12"/>
      <c r="O49" s="12" t="s">
        <v>20</v>
      </c>
      <c r="P49" s="12">
        <v>70</v>
      </c>
      <c r="Q49" s="6">
        <v>138</v>
      </c>
    </row>
    <row r="50" spans="1:17" hidden="1" x14ac:dyDescent="0.45">
      <c r="A50" s="12" t="s">
        <v>15</v>
      </c>
      <c r="B50" s="12" t="s">
        <v>45</v>
      </c>
      <c r="C50" s="12">
        <v>39</v>
      </c>
      <c r="E50" t="s">
        <v>175</v>
      </c>
      <c r="F50" s="12" t="s">
        <v>17</v>
      </c>
      <c r="G50" s="12">
        <v>160</v>
      </c>
      <c r="H50" s="12" t="s">
        <v>18</v>
      </c>
      <c r="I50" s="12" t="s">
        <v>48</v>
      </c>
      <c r="J50" s="12"/>
      <c r="K50" s="12"/>
      <c r="L50" s="12">
        <v>1</v>
      </c>
      <c r="M50" s="12">
        <v>6</v>
      </c>
      <c r="N50" s="12" t="s">
        <v>19</v>
      </c>
      <c r="O50" s="12" t="s">
        <v>23</v>
      </c>
      <c r="P50" s="12">
        <v>71</v>
      </c>
      <c r="Q50" s="6">
        <v>108</v>
      </c>
    </row>
    <row r="51" spans="1:17" s="22" customFormat="1" hidden="1" x14ac:dyDescent="0.45">
      <c r="A51" s="21" t="s">
        <v>15</v>
      </c>
      <c r="B51" s="21" t="s">
        <v>45</v>
      </c>
      <c r="C51" s="21">
        <v>40</v>
      </c>
      <c r="E51" s="22" t="s">
        <v>176</v>
      </c>
      <c r="F51" s="21" t="s">
        <v>17</v>
      </c>
      <c r="G51" s="21">
        <v>190</v>
      </c>
      <c r="H51" s="21" t="s">
        <v>18</v>
      </c>
      <c r="I51" s="21" t="s">
        <v>48</v>
      </c>
      <c r="J51" s="21"/>
      <c r="K51" s="21"/>
      <c r="L51" s="21">
        <v>1</v>
      </c>
      <c r="M51" s="21">
        <v>5</v>
      </c>
      <c r="N51" s="21" t="s">
        <v>21</v>
      </c>
      <c r="O51" s="21" t="s">
        <v>23</v>
      </c>
      <c r="P51" s="21">
        <v>72</v>
      </c>
      <c r="Q51" s="23">
        <v>104</v>
      </c>
    </row>
    <row r="52" spans="1:17" hidden="1" x14ac:dyDescent="0.45">
      <c r="A52" s="12" t="s">
        <v>15</v>
      </c>
      <c r="B52" s="12" t="s">
        <v>45</v>
      </c>
      <c r="C52" s="12">
        <v>41</v>
      </c>
      <c r="E52" t="s">
        <v>177</v>
      </c>
      <c r="F52" s="12" t="s">
        <v>17</v>
      </c>
      <c r="G52" s="12">
        <v>110</v>
      </c>
      <c r="H52" s="12" t="s">
        <v>18</v>
      </c>
      <c r="I52" s="12" t="s">
        <v>48</v>
      </c>
      <c r="J52" s="12"/>
      <c r="K52" s="12"/>
      <c r="L52" s="12">
        <v>2</v>
      </c>
      <c r="M52" s="12">
        <v>3</v>
      </c>
      <c r="N52" s="12" t="s">
        <v>21</v>
      </c>
      <c r="O52" s="12" t="s">
        <v>20</v>
      </c>
      <c r="P52" s="12">
        <v>73</v>
      </c>
      <c r="Q52" s="6">
        <v>126</v>
      </c>
    </row>
    <row r="53" spans="1:17" hidden="1" x14ac:dyDescent="0.45">
      <c r="A53" s="12" t="s">
        <v>15</v>
      </c>
      <c r="B53" s="12" t="s">
        <v>45</v>
      </c>
      <c r="C53" s="12">
        <v>42</v>
      </c>
      <c r="E53" t="s">
        <v>178</v>
      </c>
      <c r="F53" s="12" t="s">
        <v>17</v>
      </c>
      <c r="G53" s="12">
        <v>130</v>
      </c>
      <c r="H53" s="12" t="s">
        <v>18</v>
      </c>
      <c r="I53" s="12" t="s">
        <v>48</v>
      </c>
      <c r="J53" s="12"/>
      <c r="K53" s="12"/>
      <c r="L53" s="12">
        <v>2</v>
      </c>
      <c r="M53" s="12">
        <v>2</v>
      </c>
      <c r="N53" s="12" t="s">
        <v>19</v>
      </c>
      <c r="O53" s="12" t="s">
        <v>20</v>
      </c>
      <c r="P53" s="12">
        <v>74</v>
      </c>
      <c r="Q53" s="6">
        <v>123</v>
      </c>
    </row>
    <row r="54" spans="1:17" hidden="1" x14ac:dyDescent="0.45">
      <c r="A54" s="12" t="s">
        <v>15</v>
      </c>
      <c r="B54" s="12" t="s">
        <v>45</v>
      </c>
      <c r="C54" s="12">
        <v>43</v>
      </c>
      <c r="E54" t="s">
        <v>179</v>
      </c>
      <c r="F54" s="12" t="s">
        <v>17</v>
      </c>
      <c r="G54" s="12">
        <v>110</v>
      </c>
      <c r="H54" s="12" t="s">
        <v>18</v>
      </c>
      <c r="I54" s="12" t="s">
        <v>48</v>
      </c>
      <c r="J54" s="12"/>
      <c r="K54" s="12"/>
      <c r="L54" s="12">
        <v>3</v>
      </c>
      <c r="M54" s="8"/>
      <c r="N54" s="12"/>
      <c r="O54" s="12" t="s">
        <v>22</v>
      </c>
      <c r="P54" s="12">
        <v>75</v>
      </c>
      <c r="Q54" s="6">
        <v>143</v>
      </c>
    </row>
    <row r="55" spans="1:17" hidden="1" x14ac:dyDescent="0.45">
      <c r="A55" s="12" t="s">
        <v>15</v>
      </c>
      <c r="B55" s="12" t="s">
        <v>45</v>
      </c>
      <c r="C55" s="12">
        <v>44</v>
      </c>
      <c r="E55" t="s">
        <v>116</v>
      </c>
      <c r="F55" s="12" t="s">
        <v>17</v>
      </c>
      <c r="G55" s="12">
        <v>140</v>
      </c>
      <c r="H55" s="12" t="s">
        <v>18</v>
      </c>
      <c r="I55" s="12" t="s">
        <v>48</v>
      </c>
      <c r="J55" s="12"/>
      <c r="K55" s="12"/>
      <c r="L55" s="12">
        <v>3</v>
      </c>
      <c r="M55" s="12">
        <v>4</v>
      </c>
      <c r="N55" s="12" t="s">
        <v>19</v>
      </c>
      <c r="O55" s="12" t="s">
        <v>22</v>
      </c>
      <c r="P55" s="12">
        <v>76</v>
      </c>
      <c r="Q55" s="6">
        <v>146</v>
      </c>
    </row>
    <row r="56" spans="1:17" hidden="1" x14ac:dyDescent="0.45">
      <c r="A56" s="12" t="s">
        <v>15</v>
      </c>
      <c r="B56" s="12" t="s">
        <v>45</v>
      </c>
      <c r="C56" s="12">
        <v>45</v>
      </c>
      <c r="E56" t="s">
        <v>180</v>
      </c>
      <c r="F56" s="12" t="s">
        <v>17</v>
      </c>
      <c r="G56" s="12">
        <v>190</v>
      </c>
      <c r="H56" s="12" t="s">
        <v>18</v>
      </c>
      <c r="I56" s="12" t="s">
        <v>48</v>
      </c>
      <c r="J56" s="12"/>
      <c r="K56" s="12"/>
      <c r="L56" s="12">
        <v>1</v>
      </c>
      <c r="M56" s="12">
        <v>4</v>
      </c>
      <c r="N56" s="12" t="s">
        <v>19</v>
      </c>
      <c r="O56" s="12" t="s">
        <v>23</v>
      </c>
      <c r="P56" s="12">
        <v>77</v>
      </c>
      <c r="Q56" s="6">
        <v>107</v>
      </c>
    </row>
    <row r="57" spans="1:17" hidden="1" x14ac:dyDescent="0.45">
      <c r="A57" s="12" t="s">
        <v>15</v>
      </c>
      <c r="B57" s="12" t="s">
        <v>45</v>
      </c>
      <c r="C57" s="12">
        <v>46</v>
      </c>
      <c r="E57" t="s">
        <v>181</v>
      </c>
      <c r="F57" s="12" t="s">
        <v>17</v>
      </c>
      <c r="G57" s="12">
        <v>200</v>
      </c>
      <c r="H57" s="12" t="s">
        <v>18</v>
      </c>
      <c r="I57" s="12" t="s">
        <v>48</v>
      </c>
      <c r="J57" s="12"/>
      <c r="K57" s="12"/>
      <c r="L57" s="12">
        <v>2</v>
      </c>
      <c r="M57" s="12">
        <v>4</v>
      </c>
      <c r="N57" s="12" t="s">
        <v>19</v>
      </c>
      <c r="O57" s="12" t="s">
        <v>20</v>
      </c>
      <c r="P57" s="12">
        <v>78</v>
      </c>
      <c r="Q57" s="6">
        <v>119</v>
      </c>
    </row>
    <row r="58" spans="1:17" hidden="1" x14ac:dyDescent="0.45">
      <c r="A58" s="12" t="s">
        <v>15</v>
      </c>
      <c r="B58" s="12" t="s">
        <v>45</v>
      </c>
      <c r="C58" s="12">
        <v>47</v>
      </c>
      <c r="E58" t="s">
        <v>182</v>
      </c>
      <c r="F58" s="12" t="s">
        <v>17</v>
      </c>
      <c r="G58" s="12">
        <v>120</v>
      </c>
      <c r="H58" s="12" t="s">
        <v>18</v>
      </c>
      <c r="I58" s="12" t="s">
        <v>48</v>
      </c>
      <c r="J58" s="12"/>
      <c r="K58" s="12"/>
      <c r="L58" s="12">
        <v>3</v>
      </c>
      <c r="M58" s="12">
        <v>2</v>
      </c>
      <c r="N58" s="12" t="s">
        <v>19</v>
      </c>
      <c r="O58" s="12" t="s">
        <v>22</v>
      </c>
      <c r="P58" s="12">
        <v>79</v>
      </c>
      <c r="Q58" s="6">
        <v>139</v>
      </c>
    </row>
    <row r="59" spans="1:17" hidden="1" x14ac:dyDescent="0.45">
      <c r="A59" s="12" t="s">
        <v>15</v>
      </c>
      <c r="B59" s="12" t="s">
        <v>45</v>
      </c>
      <c r="C59" s="12">
        <v>48</v>
      </c>
      <c r="E59" t="s">
        <v>183</v>
      </c>
      <c r="F59" s="12" t="s">
        <v>17</v>
      </c>
      <c r="G59" s="12">
        <v>190</v>
      </c>
      <c r="H59" s="12" t="s">
        <v>18</v>
      </c>
      <c r="I59" s="12" t="s">
        <v>48</v>
      </c>
      <c r="J59" s="12"/>
      <c r="K59" s="12"/>
      <c r="L59" s="12">
        <v>1</v>
      </c>
      <c r="M59" s="12">
        <v>7</v>
      </c>
      <c r="N59" s="12" t="s">
        <v>21</v>
      </c>
      <c r="O59" s="12" t="s">
        <v>23</v>
      </c>
      <c r="P59" s="12">
        <v>80</v>
      </c>
      <c r="Q59" s="6">
        <v>106</v>
      </c>
    </row>
    <row r="60" spans="1:17" hidden="1" x14ac:dyDescent="0.45">
      <c r="A60" s="7" t="s">
        <v>49</v>
      </c>
      <c r="B60" s="7" t="s">
        <v>50</v>
      </c>
      <c r="C60" s="7"/>
      <c r="D60" s="7">
        <v>14</v>
      </c>
      <c r="E60" t="str">
        <f>"YO" &amp; TEXT(D60, "00")</f>
        <v>YO14</v>
      </c>
      <c r="F60" s="7" t="s">
        <v>27</v>
      </c>
      <c r="G60" s="7">
        <v>60</v>
      </c>
      <c r="H60" s="7" t="s">
        <v>51</v>
      </c>
      <c r="I60" s="7"/>
      <c r="J60" s="7">
        <v>3</v>
      </c>
      <c r="K60" s="7">
        <v>7</v>
      </c>
      <c r="L60" s="7">
        <v>2</v>
      </c>
      <c r="M60" s="7">
        <v>5</v>
      </c>
      <c r="N60" s="7" t="s">
        <v>21</v>
      </c>
      <c r="O60" s="7" t="s">
        <v>20</v>
      </c>
      <c r="P60" s="7">
        <v>30</v>
      </c>
      <c r="Q60" s="7">
        <v>168</v>
      </c>
    </row>
    <row r="61" spans="1:17" hidden="1" x14ac:dyDescent="0.45">
      <c r="A61" s="7" t="s">
        <v>49</v>
      </c>
      <c r="B61" s="7" t="s">
        <v>50</v>
      </c>
      <c r="C61" s="7"/>
      <c r="D61" s="7">
        <v>20</v>
      </c>
      <c r="E61" t="str">
        <f t="shared" ref="E61:E111" si="0">"YO" &amp; TEXT(D61, "00")</f>
        <v>YO20</v>
      </c>
      <c r="F61" s="7" t="s">
        <v>27</v>
      </c>
      <c r="G61" s="7">
        <v>51</v>
      </c>
      <c r="H61" s="7" t="s">
        <v>51</v>
      </c>
      <c r="I61" s="7"/>
      <c r="J61" s="7">
        <v>6</v>
      </c>
      <c r="K61" s="7">
        <v>5</v>
      </c>
      <c r="L61" s="7">
        <v>1</v>
      </c>
      <c r="M61" s="7">
        <v>5</v>
      </c>
      <c r="N61" s="7" t="s">
        <v>21</v>
      </c>
      <c r="O61" s="7" t="s">
        <v>23</v>
      </c>
      <c r="P61" s="7">
        <v>45</v>
      </c>
      <c r="Q61" s="7">
        <v>167</v>
      </c>
    </row>
    <row r="62" spans="1:17" hidden="1" x14ac:dyDescent="0.45">
      <c r="A62" s="7" t="s">
        <v>49</v>
      </c>
      <c r="B62" s="7" t="s">
        <v>50</v>
      </c>
      <c r="C62" s="7"/>
      <c r="D62" s="7">
        <v>15</v>
      </c>
      <c r="E62" t="str">
        <f t="shared" si="0"/>
        <v>YO15</v>
      </c>
      <c r="F62" s="7" t="s">
        <v>27</v>
      </c>
      <c r="G62" s="7">
        <v>44</v>
      </c>
      <c r="H62" s="7" t="s">
        <v>51</v>
      </c>
      <c r="I62" s="7"/>
      <c r="J62" s="7">
        <v>2</v>
      </c>
      <c r="K62" s="7">
        <v>7</v>
      </c>
      <c r="L62" s="7">
        <v>3</v>
      </c>
      <c r="M62" s="7">
        <v>3</v>
      </c>
      <c r="N62" s="7" t="s">
        <v>21</v>
      </c>
      <c r="O62" s="7" t="s">
        <v>22</v>
      </c>
      <c r="P62" s="7">
        <v>31</v>
      </c>
      <c r="Q62" s="7">
        <v>166</v>
      </c>
    </row>
    <row r="63" spans="1:17" hidden="1" x14ac:dyDescent="0.45">
      <c r="A63" s="7" t="s">
        <v>49</v>
      </c>
      <c r="B63" s="7" t="s">
        <v>50</v>
      </c>
      <c r="C63" s="7"/>
      <c r="D63" s="7">
        <v>1</v>
      </c>
      <c r="E63" t="str">
        <f t="shared" si="0"/>
        <v>YO01</v>
      </c>
      <c r="F63" s="7" t="s">
        <v>27</v>
      </c>
      <c r="G63" s="7">
        <v>43</v>
      </c>
      <c r="H63" s="7" t="s">
        <v>51</v>
      </c>
      <c r="I63" s="7"/>
      <c r="J63" s="7">
        <v>1</v>
      </c>
      <c r="K63" s="7">
        <v>5</v>
      </c>
      <c r="L63" s="7">
        <v>1</v>
      </c>
      <c r="M63" s="7">
        <v>7</v>
      </c>
      <c r="N63" s="7" t="s">
        <v>21</v>
      </c>
      <c r="O63" s="7" t="s">
        <v>23</v>
      </c>
      <c r="P63" s="7">
        <v>39</v>
      </c>
      <c r="Q63" s="7">
        <v>163</v>
      </c>
    </row>
    <row r="64" spans="1:17" hidden="1" x14ac:dyDescent="0.45">
      <c r="A64" s="7" t="s">
        <v>49</v>
      </c>
      <c r="B64" s="7" t="s">
        <v>50</v>
      </c>
      <c r="C64" s="7"/>
      <c r="D64" s="7">
        <v>16</v>
      </c>
      <c r="E64" t="str">
        <f t="shared" si="0"/>
        <v>YO16</v>
      </c>
      <c r="F64" s="7" t="s">
        <v>27</v>
      </c>
      <c r="G64" s="7">
        <v>65</v>
      </c>
      <c r="H64" s="7" t="s">
        <v>51</v>
      </c>
      <c r="I64" s="7"/>
      <c r="J64" s="7">
        <v>7</v>
      </c>
      <c r="K64" s="7">
        <v>7</v>
      </c>
      <c r="L64" s="12">
        <v>3</v>
      </c>
      <c r="M64" s="12">
        <v>5</v>
      </c>
      <c r="N64" s="12" t="s">
        <v>21</v>
      </c>
      <c r="O64" s="12" t="s">
        <v>22</v>
      </c>
      <c r="P64" s="12">
        <v>29</v>
      </c>
      <c r="Q64" s="7">
        <v>177</v>
      </c>
    </row>
    <row r="65" spans="1:17" hidden="1" x14ac:dyDescent="0.45">
      <c r="A65" s="7" t="s">
        <v>49</v>
      </c>
      <c r="B65" s="7" t="s">
        <v>50</v>
      </c>
      <c r="C65" s="7"/>
      <c r="D65" s="7">
        <v>4</v>
      </c>
      <c r="E65" t="str">
        <f t="shared" si="0"/>
        <v>YO04</v>
      </c>
      <c r="F65" s="7" t="s">
        <v>27</v>
      </c>
      <c r="G65" s="7">
        <v>47</v>
      </c>
      <c r="H65" s="7" t="s">
        <v>51</v>
      </c>
      <c r="I65" s="7"/>
      <c r="J65" s="7">
        <v>3</v>
      </c>
      <c r="K65" s="7">
        <v>5</v>
      </c>
      <c r="L65" s="12">
        <v>1</v>
      </c>
      <c r="M65" s="12">
        <v>3</v>
      </c>
      <c r="N65" s="12" t="s">
        <v>21</v>
      </c>
      <c r="O65" s="12" t="s">
        <v>23</v>
      </c>
      <c r="P65" s="12">
        <v>36</v>
      </c>
      <c r="Q65" s="7">
        <v>165</v>
      </c>
    </row>
    <row r="66" spans="1:17" hidden="1" x14ac:dyDescent="0.45">
      <c r="A66" s="7" t="s">
        <v>49</v>
      </c>
      <c r="B66" s="7" t="s">
        <v>50</v>
      </c>
      <c r="C66" s="7"/>
      <c r="D66" s="7">
        <v>22</v>
      </c>
      <c r="E66" t="str">
        <f t="shared" si="0"/>
        <v>YO22</v>
      </c>
      <c r="F66" s="7" t="s">
        <v>27</v>
      </c>
      <c r="G66" s="7">
        <v>39</v>
      </c>
      <c r="H66" s="7" t="s">
        <v>51</v>
      </c>
      <c r="I66" s="7"/>
      <c r="J66" s="7">
        <v>15</v>
      </c>
      <c r="K66" s="7">
        <v>6</v>
      </c>
      <c r="L66" s="12">
        <v>3</v>
      </c>
      <c r="M66" s="12">
        <v>4</v>
      </c>
      <c r="N66" s="12" t="s">
        <v>19</v>
      </c>
      <c r="O66" s="12" t="s">
        <v>22</v>
      </c>
      <c r="P66" s="12">
        <v>48</v>
      </c>
      <c r="Q66" s="7">
        <v>182</v>
      </c>
    </row>
    <row r="67" spans="1:17" hidden="1" x14ac:dyDescent="0.45">
      <c r="A67" s="7" t="s">
        <v>49</v>
      </c>
      <c r="B67" s="7" t="s">
        <v>50</v>
      </c>
      <c r="C67" s="7"/>
      <c r="D67" s="7">
        <v>11</v>
      </c>
      <c r="E67" t="str">
        <f t="shared" si="0"/>
        <v>YO11</v>
      </c>
      <c r="F67" s="7" t="s">
        <v>27</v>
      </c>
      <c r="G67" s="7">
        <v>62</v>
      </c>
      <c r="H67" s="7" t="s">
        <v>51</v>
      </c>
      <c r="I67" s="7"/>
      <c r="J67" s="7">
        <v>4</v>
      </c>
      <c r="K67" s="7">
        <v>7</v>
      </c>
      <c r="L67" s="12">
        <v>1</v>
      </c>
      <c r="M67" s="12">
        <v>4</v>
      </c>
      <c r="N67" s="12" t="s">
        <v>19</v>
      </c>
      <c r="O67" s="12" t="s">
        <v>23</v>
      </c>
      <c r="P67" s="12">
        <v>26</v>
      </c>
      <c r="Q67" s="7">
        <v>160</v>
      </c>
    </row>
    <row r="68" spans="1:17" hidden="1" x14ac:dyDescent="0.45">
      <c r="A68" s="7" t="s">
        <v>49</v>
      </c>
      <c r="B68" s="7" t="s">
        <v>50</v>
      </c>
      <c r="C68" s="7"/>
      <c r="D68" s="7">
        <v>23</v>
      </c>
      <c r="E68" t="str">
        <f t="shared" si="0"/>
        <v>YO23</v>
      </c>
      <c r="F68" s="7" t="s">
        <v>27</v>
      </c>
      <c r="G68" s="7">
        <v>39</v>
      </c>
      <c r="H68" s="7" t="s">
        <v>51</v>
      </c>
      <c r="I68" s="7"/>
      <c r="J68" s="7">
        <v>3</v>
      </c>
      <c r="K68" s="7">
        <v>5</v>
      </c>
      <c r="L68" s="12">
        <v>3</v>
      </c>
      <c r="M68" s="12">
        <v>2</v>
      </c>
      <c r="N68" s="12" t="s">
        <v>19</v>
      </c>
      <c r="O68" s="12" t="s">
        <v>22</v>
      </c>
      <c r="P68" s="12">
        <v>76</v>
      </c>
      <c r="Q68" s="7">
        <v>176</v>
      </c>
    </row>
    <row r="69" spans="1:17" hidden="1" x14ac:dyDescent="0.45">
      <c r="A69" s="7" t="s">
        <v>49</v>
      </c>
      <c r="B69" s="7" t="s">
        <v>50</v>
      </c>
      <c r="C69" s="7"/>
      <c r="D69" s="7">
        <v>21</v>
      </c>
      <c r="E69" t="str">
        <f t="shared" si="0"/>
        <v>YO21</v>
      </c>
      <c r="F69" s="7" t="s">
        <v>27</v>
      </c>
      <c r="G69" s="7">
        <v>36</v>
      </c>
      <c r="H69" s="7" t="s">
        <v>51</v>
      </c>
      <c r="I69" s="7" t="s">
        <v>53</v>
      </c>
      <c r="J69" s="7">
        <v>7</v>
      </c>
      <c r="K69" s="7">
        <v>6</v>
      </c>
      <c r="L69" s="12">
        <v>2</v>
      </c>
      <c r="M69" s="12">
        <v>3</v>
      </c>
      <c r="N69" s="12" t="s">
        <v>21</v>
      </c>
      <c r="O69" s="12" t="s">
        <v>20</v>
      </c>
      <c r="P69" s="12">
        <v>48</v>
      </c>
      <c r="Q69" s="7">
        <v>174</v>
      </c>
    </row>
    <row r="70" spans="1:17" hidden="1" x14ac:dyDescent="0.45">
      <c r="A70" s="7" t="s">
        <v>49</v>
      </c>
      <c r="B70" s="7" t="s">
        <v>50</v>
      </c>
      <c r="C70" s="7"/>
      <c r="D70" s="7">
        <v>5</v>
      </c>
      <c r="E70" t="str">
        <f t="shared" si="0"/>
        <v>YO05</v>
      </c>
      <c r="F70" s="7" t="s">
        <v>27</v>
      </c>
      <c r="G70" s="7">
        <v>62</v>
      </c>
      <c r="H70" s="7" t="s">
        <v>51</v>
      </c>
      <c r="I70" s="7"/>
      <c r="J70" s="7">
        <v>7</v>
      </c>
      <c r="K70" s="7">
        <v>5</v>
      </c>
      <c r="L70" s="7">
        <v>2</v>
      </c>
      <c r="M70" s="7">
        <v>4</v>
      </c>
      <c r="N70" s="7" t="s">
        <v>19</v>
      </c>
      <c r="O70" s="7" t="s">
        <v>20</v>
      </c>
      <c r="P70" s="7">
        <v>38</v>
      </c>
      <c r="Q70" s="7">
        <v>172</v>
      </c>
    </row>
    <row r="71" spans="1:17" hidden="1" x14ac:dyDescent="0.45">
      <c r="A71" s="7" t="s">
        <v>49</v>
      </c>
      <c r="B71" s="7" t="s">
        <v>50</v>
      </c>
      <c r="C71" s="7"/>
      <c r="D71" s="7">
        <v>8</v>
      </c>
      <c r="E71" t="str">
        <f t="shared" si="0"/>
        <v>YO08</v>
      </c>
      <c r="F71" s="7" t="s">
        <v>27</v>
      </c>
      <c r="G71" s="7">
        <v>40</v>
      </c>
      <c r="H71" s="7" t="s">
        <v>51</v>
      </c>
      <c r="I71" s="7"/>
      <c r="J71" s="7">
        <v>4</v>
      </c>
      <c r="K71" s="7">
        <v>5</v>
      </c>
      <c r="L71" s="7">
        <v>1</v>
      </c>
      <c r="M71" s="7">
        <v>6</v>
      </c>
      <c r="N71" s="7" t="s">
        <v>19</v>
      </c>
      <c r="O71" s="7" t="s">
        <v>23</v>
      </c>
      <c r="P71" s="7">
        <v>33</v>
      </c>
      <c r="Q71" s="7">
        <v>162</v>
      </c>
    </row>
    <row r="72" spans="1:17" hidden="1" x14ac:dyDescent="0.45">
      <c r="A72" s="7" t="s">
        <v>49</v>
      </c>
      <c r="B72" s="7" t="s">
        <v>50</v>
      </c>
      <c r="C72" s="7"/>
      <c r="D72" s="7">
        <v>18</v>
      </c>
      <c r="E72" t="str">
        <f t="shared" si="0"/>
        <v>YO18</v>
      </c>
      <c r="F72" s="7" t="s">
        <v>27</v>
      </c>
      <c r="G72" s="7">
        <v>49</v>
      </c>
      <c r="H72" s="7" t="s">
        <v>51</v>
      </c>
      <c r="I72" s="7"/>
      <c r="J72" s="7">
        <v>2</v>
      </c>
      <c r="K72" s="7">
        <v>6</v>
      </c>
      <c r="L72" s="7">
        <v>3</v>
      </c>
      <c r="M72" s="7">
        <v>3</v>
      </c>
      <c r="N72" s="7" t="s">
        <v>21</v>
      </c>
      <c r="O72" s="7" t="s">
        <v>22</v>
      </c>
      <c r="P72" s="7">
        <v>43</v>
      </c>
      <c r="Q72" s="7">
        <v>181</v>
      </c>
    </row>
    <row r="73" spans="1:17" hidden="1" x14ac:dyDescent="0.45">
      <c r="A73" s="7" t="s">
        <v>49</v>
      </c>
      <c r="B73" s="7" t="s">
        <v>50</v>
      </c>
      <c r="C73" s="7"/>
      <c r="D73" s="7">
        <v>13</v>
      </c>
      <c r="E73" t="str">
        <f t="shared" si="0"/>
        <v>YO13</v>
      </c>
      <c r="F73" s="7" t="s">
        <v>27</v>
      </c>
      <c r="G73" s="7">
        <v>55</v>
      </c>
      <c r="H73" s="7" t="s">
        <v>51</v>
      </c>
      <c r="I73" s="7"/>
      <c r="J73" s="7">
        <v>7</v>
      </c>
      <c r="K73" s="7">
        <v>7</v>
      </c>
      <c r="L73" s="7">
        <v>3</v>
      </c>
      <c r="M73" s="7">
        <v>7</v>
      </c>
      <c r="N73" s="7" t="s">
        <v>21</v>
      </c>
      <c r="O73" s="7" t="s">
        <v>22</v>
      </c>
      <c r="P73" s="7">
        <v>28</v>
      </c>
      <c r="Q73" s="7">
        <v>179</v>
      </c>
    </row>
    <row r="74" spans="1:17" hidden="1" x14ac:dyDescent="0.45">
      <c r="A74" s="7" t="s">
        <v>49</v>
      </c>
      <c r="B74" s="7" t="s">
        <v>50</v>
      </c>
      <c r="C74" s="7"/>
      <c r="D74" s="7">
        <v>19</v>
      </c>
      <c r="E74" t="str">
        <f t="shared" si="0"/>
        <v>YO19</v>
      </c>
      <c r="F74" s="7" t="s">
        <v>27</v>
      </c>
      <c r="G74" s="7">
        <v>38</v>
      </c>
      <c r="H74" s="7" t="s">
        <v>51</v>
      </c>
      <c r="I74" s="7"/>
      <c r="J74" s="7">
        <v>4</v>
      </c>
      <c r="K74" s="7">
        <v>6</v>
      </c>
      <c r="L74" s="7">
        <v>2</v>
      </c>
      <c r="M74" s="7">
        <v>2</v>
      </c>
      <c r="N74" s="7" t="s">
        <v>19</v>
      </c>
      <c r="O74" s="7" t="s">
        <v>20</v>
      </c>
      <c r="P74" s="7">
        <v>42</v>
      </c>
      <c r="Q74" s="7">
        <v>173</v>
      </c>
    </row>
    <row r="75" spans="1:17" hidden="1" x14ac:dyDescent="0.45">
      <c r="A75" s="7" t="s">
        <v>49</v>
      </c>
      <c r="B75" s="7" t="s">
        <v>50</v>
      </c>
      <c r="C75" s="7"/>
      <c r="D75" s="7">
        <v>2</v>
      </c>
      <c r="E75" t="str">
        <f t="shared" si="0"/>
        <v>YO02</v>
      </c>
      <c r="F75" s="7" t="s">
        <v>27</v>
      </c>
      <c r="G75" s="7">
        <v>30</v>
      </c>
      <c r="H75" s="7" t="s">
        <v>51</v>
      </c>
      <c r="I75" s="7"/>
      <c r="J75" s="7">
        <v>1</v>
      </c>
      <c r="K75" s="7">
        <v>5</v>
      </c>
      <c r="L75" s="7">
        <v>2</v>
      </c>
      <c r="M75" s="7">
        <v>3</v>
      </c>
      <c r="N75" s="7" t="s">
        <v>21</v>
      </c>
      <c r="O75" s="7" t="s">
        <v>20</v>
      </c>
      <c r="P75" s="7">
        <v>32</v>
      </c>
      <c r="Q75" s="7">
        <v>171</v>
      </c>
    </row>
    <row r="76" spans="1:17" x14ac:dyDescent="0.45">
      <c r="A76" s="7" t="s">
        <v>49</v>
      </c>
      <c r="B76" s="7" t="s">
        <v>50</v>
      </c>
      <c r="C76" s="7"/>
      <c r="D76" s="7">
        <v>25</v>
      </c>
      <c r="E76" t="str">
        <f t="shared" si="0"/>
        <v>YO25</v>
      </c>
      <c r="F76" s="7" t="s">
        <v>27</v>
      </c>
      <c r="G76" s="7">
        <v>60</v>
      </c>
      <c r="H76" s="7" t="s">
        <v>51</v>
      </c>
      <c r="I76" s="7"/>
      <c r="J76" s="7">
        <v>8</v>
      </c>
      <c r="K76" s="7">
        <v>6</v>
      </c>
      <c r="L76" s="7">
        <v>1</v>
      </c>
      <c r="M76" s="7">
        <v>2</v>
      </c>
      <c r="N76" s="7" t="s">
        <v>19</v>
      </c>
      <c r="O76" s="7" t="s">
        <v>23</v>
      </c>
      <c r="P76" s="7">
        <v>44</v>
      </c>
      <c r="Q76" s="7">
        <v>161</v>
      </c>
    </row>
    <row r="77" spans="1:17" hidden="1" x14ac:dyDescent="0.45">
      <c r="A77" s="7" t="s">
        <v>49</v>
      </c>
      <c r="B77" s="7" t="s">
        <v>50</v>
      </c>
      <c r="C77" s="7"/>
      <c r="D77" s="7">
        <v>12</v>
      </c>
      <c r="E77" t="str">
        <f t="shared" si="0"/>
        <v>YO12</v>
      </c>
      <c r="F77" s="7" t="s">
        <v>27</v>
      </c>
      <c r="G77" s="7">
        <v>39</v>
      </c>
      <c r="H77" s="7" t="s">
        <v>51</v>
      </c>
      <c r="I77" s="7"/>
      <c r="J77" s="7">
        <v>7</v>
      </c>
      <c r="K77" s="7">
        <v>7</v>
      </c>
      <c r="L77" s="7">
        <v>2</v>
      </c>
      <c r="M77" s="7">
        <v>6</v>
      </c>
      <c r="N77" s="7" t="s">
        <v>19</v>
      </c>
      <c r="O77" s="7" t="s">
        <v>20</v>
      </c>
      <c r="P77" s="7">
        <v>25</v>
      </c>
      <c r="Q77" s="7">
        <v>169</v>
      </c>
    </row>
    <row r="78" spans="1:17" x14ac:dyDescent="0.45">
      <c r="A78" s="7" t="s">
        <v>49</v>
      </c>
      <c r="B78" s="7" t="s">
        <v>50</v>
      </c>
      <c r="C78" s="7"/>
      <c r="D78" s="7">
        <v>17</v>
      </c>
      <c r="E78" t="str">
        <f t="shared" si="0"/>
        <v>YO17</v>
      </c>
      <c r="F78" s="7" t="s">
        <v>27</v>
      </c>
      <c r="G78" s="7">
        <v>30</v>
      </c>
      <c r="H78" s="7" t="s">
        <v>51</v>
      </c>
      <c r="I78" s="7"/>
      <c r="J78" s="7">
        <v>4</v>
      </c>
      <c r="K78" s="7">
        <v>7</v>
      </c>
      <c r="L78" s="7">
        <v>1</v>
      </c>
      <c r="M78" s="7">
        <v>2</v>
      </c>
      <c r="N78" s="7" t="s">
        <v>19</v>
      </c>
      <c r="O78" s="7" t="s">
        <v>23</v>
      </c>
      <c r="P78" s="7">
        <v>27</v>
      </c>
      <c r="Q78" s="7">
        <v>164</v>
      </c>
    </row>
    <row r="79" spans="1:17" hidden="1" x14ac:dyDescent="0.45">
      <c r="A79" s="7" t="s">
        <v>49</v>
      </c>
      <c r="B79" s="7" t="s">
        <v>50</v>
      </c>
      <c r="C79" s="7"/>
      <c r="D79" s="7">
        <v>3</v>
      </c>
      <c r="E79" t="str">
        <f t="shared" si="0"/>
        <v>YO03</v>
      </c>
      <c r="F79" s="7" t="s">
        <v>27</v>
      </c>
      <c r="G79" s="7">
        <v>38</v>
      </c>
      <c r="H79" s="7" t="s">
        <v>51</v>
      </c>
      <c r="I79" s="7" t="s">
        <v>53</v>
      </c>
      <c r="J79" s="7">
        <v>2</v>
      </c>
      <c r="K79" s="7">
        <v>5</v>
      </c>
      <c r="L79" s="7">
        <v>2</v>
      </c>
      <c r="M79" s="7">
        <v>2</v>
      </c>
      <c r="N79" s="7" t="s">
        <v>19</v>
      </c>
      <c r="O79" s="7" t="s">
        <v>20</v>
      </c>
      <c r="P79" s="7">
        <v>40</v>
      </c>
      <c r="Q79" s="7">
        <v>170</v>
      </c>
    </row>
    <row r="80" spans="1:17" hidden="1" x14ac:dyDescent="0.45">
      <c r="A80" s="7" t="s">
        <v>49</v>
      </c>
      <c r="B80" s="7" t="s">
        <v>50</v>
      </c>
      <c r="C80" s="7"/>
      <c r="D80" s="7">
        <v>10</v>
      </c>
      <c r="E80" t="str">
        <f t="shared" si="0"/>
        <v>YO10</v>
      </c>
      <c r="F80" s="7" t="s">
        <v>27</v>
      </c>
      <c r="G80" s="7">
        <v>30</v>
      </c>
      <c r="H80" s="7" t="s">
        <v>51</v>
      </c>
      <c r="I80" s="7"/>
      <c r="J80" s="7">
        <v>4</v>
      </c>
      <c r="K80" s="7">
        <v>7</v>
      </c>
      <c r="L80" s="7">
        <v>2</v>
      </c>
      <c r="M80" s="7">
        <v>7</v>
      </c>
      <c r="N80" s="7" t="s">
        <v>21</v>
      </c>
      <c r="O80" s="7" t="s">
        <v>20</v>
      </c>
      <c r="P80" s="12">
        <v>29</v>
      </c>
      <c r="Q80" s="8" t="s">
        <v>184</v>
      </c>
    </row>
    <row r="81" spans="1:17" hidden="1" x14ac:dyDescent="0.45">
      <c r="A81" s="7" t="s">
        <v>49</v>
      </c>
      <c r="B81" s="7" t="s">
        <v>50</v>
      </c>
      <c r="C81" s="7"/>
      <c r="D81" s="7">
        <v>7</v>
      </c>
      <c r="E81" t="str">
        <f t="shared" si="0"/>
        <v>YO07</v>
      </c>
      <c r="F81" s="7" t="s">
        <v>27</v>
      </c>
      <c r="G81" s="7">
        <v>24</v>
      </c>
      <c r="H81" s="7" t="s">
        <v>51</v>
      </c>
      <c r="I81" s="7"/>
      <c r="J81" s="7">
        <v>3</v>
      </c>
      <c r="K81" s="7">
        <v>5</v>
      </c>
      <c r="L81" s="7">
        <v>3</v>
      </c>
      <c r="M81" s="7">
        <v>3</v>
      </c>
      <c r="N81" s="7" t="s">
        <v>21</v>
      </c>
      <c r="O81" s="7" t="s">
        <v>22</v>
      </c>
      <c r="P81" s="7">
        <v>35</v>
      </c>
      <c r="Q81" s="7">
        <v>175</v>
      </c>
    </row>
    <row r="82" spans="1:17" hidden="1" x14ac:dyDescent="0.45">
      <c r="A82" s="7" t="s">
        <v>49</v>
      </c>
      <c r="B82" s="7" t="s">
        <v>50</v>
      </c>
      <c r="C82" s="7"/>
      <c r="D82" s="7">
        <v>9</v>
      </c>
      <c r="E82" t="str">
        <f t="shared" si="0"/>
        <v>YO09</v>
      </c>
      <c r="F82" s="7" t="s">
        <v>27</v>
      </c>
      <c r="G82" s="7">
        <v>23</v>
      </c>
      <c r="H82" s="7" t="s">
        <v>51</v>
      </c>
      <c r="I82" s="7"/>
      <c r="J82" s="7">
        <v>3</v>
      </c>
      <c r="K82" s="7">
        <v>5</v>
      </c>
      <c r="L82" s="7">
        <v>3</v>
      </c>
      <c r="M82" s="7">
        <v>2</v>
      </c>
      <c r="N82" s="7" t="s">
        <v>19</v>
      </c>
      <c r="O82" s="7" t="s">
        <v>22</v>
      </c>
      <c r="P82" s="7">
        <v>37</v>
      </c>
      <c r="Q82" s="7">
        <v>180</v>
      </c>
    </row>
    <row r="83" spans="1:17" hidden="1" x14ac:dyDescent="0.45">
      <c r="A83" s="7" t="s">
        <v>49</v>
      </c>
      <c r="B83" s="7" t="s">
        <v>50</v>
      </c>
      <c r="C83" s="7"/>
      <c r="D83" s="7">
        <v>6</v>
      </c>
      <c r="E83" t="str">
        <f t="shared" si="0"/>
        <v>YO06</v>
      </c>
      <c r="F83" s="7" t="s">
        <v>27</v>
      </c>
      <c r="G83" s="7">
        <v>30</v>
      </c>
      <c r="H83" s="7" t="s">
        <v>51</v>
      </c>
      <c r="I83" s="7"/>
      <c r="J83" s="7">
        <v>3</v>
      </c>
      <c r="K83" s="7">
        <v>5</v>
      </c>
      <c r="L83" s="7">
        <v>3</v>
      </c>
      <c r="M83" s="7">
        <v>6</v>
      </c>
      <c r="N83" s="7" t="s">
        <v>19</v>
      </c>
      <c r="O83" s="7" t="s">
        <v>22</v>
      </c>
      <c r="P83" s="7">
        <v>41</v>
      </c>
      <c r="Q83" s="7">
        <v>178</v>
      </c>
    </row>
    <row r="84" spans="1:17" hidden="1" x14ac:dyDescent="0.45">
      <c r="A84" s="9" t="s">
        <v>49</v>
      </c>
      <c r="B84" s="9" t="s">
        <v>50</v>
      </c>
      <c r="C84" s="9"/>
      <c r="D84" s="9">
        <v>24</v>
      </c>
      <c r="E84" t="str">
        <f t="shared" si="0"/>
        <v>YO24</v>
      </c>
      <c r="F84" s="9" t="s">
        <v>27</v>
      </c>
      <c r="G84" s="17"/>
      <c r="H84" s="9" t="s">
        <v>51</v>
      </c>
      <c r="I84" s="9" t="s">
        <v>54</v>
      </c>
      <c r="J84" s="9">
        <v>5</v>
      </c>
      <c r="K84" s="9"/>
      <c r="L84" s="9"/>
      <c r="M84" s="9"/>
      <c r="N84" s="9"/>
      <c r="O84" s="9"/>
      <c r="P84" s="9"/>
      <c r="Q84" s="9"/>
    </row>
    <row r="85" spans="1:17" hidden="1" x14ac:dyDescent="0.45">
      <c r="A85" s="9" t="s">
        <v>49</v>
      </c>
      <c r="B85" s="9" t="s">
        <v>50</v>
      </c>
      <c r="C85" s="9"/>
      <c r="D85" s="9">
        <v>26</v>
      </c>
      <c r="E85" t="str">
        <f t="shared" si="0"/>
        <v>YO26</v>
      </c>
      <c r="F85" s="9" t="s">
        <v>27</v>
      </c>
      <c r="G85" s="17"/>
      <c r="H85" s="9" t="s">
        <v>51</v>
      </c>
      <c r="I85" s="9" t="s">
        <v>55</v>
      </c>
      <c r="J85" s="9">
        <v>3</v>
      </c>
      <c r="K85" s="9"/>
      <c r="L85" s="9"/>
      <c r="M85" s="9"/>
      <c r="N85" s="9"/>
      <c r="O85" s="9"/>
      <c r="P85" s="9"/>
      <c r="Q85" s="9"/>
    </row>
    <row r="86" spans="1:17" hidden="1" x14ac:dyDescent="0.45">
      <c r="A86" s="9" t="s">
        <v>49</v>
      </c>
      <c r="B86" s="9" t="s">
        <v>50</v>
      </c>
      <c r="C86" s="9"/>
      <c r="D86" s="9">
        <v>14</v>
      </c>
      <c r="E86" t="str">
        <f t="shared" si="0"/>
        <v>YO14</v>
      </c>
      <c r="F86" s="9" t="s">
        <v>25</v>
      </c>
      <c r="G86" s="9">
        <v>70</v>
      </c>
      <c r="H86" s="7" t="s">
        <v>51</v>
      </c>
      <c r="I86" s="9"/>
      <c r="J86" s="9">
        <v>3</v>
      </c>
      <c r="K86" s="9">
        <v>7</v>
      </c>
      <c r="L86" s="9"/>
      <c r="M86" s="9"/>
      <c r="N86" s="9"/>
      <c r="O86" s="9"/>
      <c r="P86" s="9">
        <v>30</v>
      </c>
      <c r="Q86" s="9"/>
    </row>
    <row r="87" spans="1:17" hidden="1" x14ac:dyDescent="0.45">
      <c r="A87" s="9" t="s">
        <v>49</v>
      </c>
      <c r="B87" s="9" t="s">
        <v>50</v>
      </c>
      <c r="C87" s="9"/>
      <c r="D87" s="9">
        <v>20</v>
      </c>
      <c r="E87" t="str">
        <f t="shared" si="0"/>
        <v>YO20</v>
      </c>
      <c r="F87" s="9" t="s">
        <v>25</v>
      </c>
      <c r="G87" s="9">
        <v>30</v>
      </c>
      <c r="H87" s="7" t="s">
        <v>51</v>
      </c>
      <c r="I87" s="9"/>
      <c r="J87" s="9">
        <v>6</v>
      </c>
      <c r="K87" s="9">
        <v>5</v>
      </c>
      <c r="L87" s="9"/>
      <c r="M87" s="9"/>
      <c r="N87" s="9"/>
      <c r="O87" s="9"/>
      <c r="P87" s="9">
        <v>45</v>
      </c>
      <c r="Q87" s="9"/>
    </row>
    <row r="88" spans="1:17" hidden="1" x14ac:dyDescent="0.45">
      <c r="A88" s="9" t="s">
        <v>49</v>
      </c>
      <c r="B88" s="9" t="s">
        <v>50</v>
      </c>
      <c r="C88" s="9"/>
      <c r="D88" s="9">
        <v>15</v>
      </c>
      <c r="E88" t="str">
        <f t="shared" si="0"/>
        <v>YO15</v>
      </c>
      <c r="F88" s="9" t="s">
        <v>25</v>
      </c>
      <c r="G88" s="9">
        <v>43</v>
      </c>
      <c r="H88" s="7" t="s">
        <v>51</v>
      </c>
      <c r="I88" s="9"/>
      <c r="J88" s="9">
        <v>2</v>
      </c>
      <c r="K88" s="9">
        <v>7</v>
      </c>
      <c r="L88" s="9"/>
      <c r="M88" s="9"/>
      <c r="N88" s="9"/>
      <c r="O88" s="9"/>
      <c r="P88" s="9">
        <v>31</v>
      </c>
      <c r="Q88" s="9"/>
    </row>
    <row r="89" spans="1:17" hidden="1" x14ac:dyDescent="0.45">
      <c r="A89" s="9" t="s">
        <v>49</v>
      </c>
      <c r="B89" s="9" t="s">
        <v>50</v>
      </c>
      <c r="C89" s="9"/>
      <c r="D89" s="9">
        <v>1</v>
      </c>
      <c r="E89" t="str">
        <f t="shared" si="0"/>
        <v>YO01</v>
      </c>
      <c r="F89" s="9" t="s">
        <v>25</v>
      </c>
      <c r="G89" s="9">
        <v>60</v>
      </c>
      <c r="H89" s="7" t="s">
        <v>51</v>
      </c>
      <c r="I89" s="9"/>
      <c r="J89" s="9">
        <v>1</v>
      </c>
      <c r="K89" s="9">
        <v>5</v>
      </c>
      <c r="L89" s="9"/>
      <c r="M89" s="9"/>
      <c r="N89" s="9"/>
      <c r="O89" s="9"/>
      <c r="P89" s="9">
        <v>39</v>
      </c>
      <c r="Q89" s="9"/>
    </row>
    <row r="90" spans="1:17" hidden="1" x14ac:dyDescent="0.45">
      <c r="A90" s="9" t="s">
        <v>49</v>
      </c>
      <c r="B90" s="9" t="s">
        <v>50</v>
      </c>
      <c r="C90" s="9"/>
      <c r="D90" s="9">
        <v>16</v>
      </c>
      <c r="E90" t="str">
        <f t="shared" si="0"/>
        <v>YO16</v>
      </c>
      <c r="F90" s="9" t="s">
        <v>25</v>
      </c>
      <c r="G90" s="9">
        <v>30</v>
      </c>
      <c r="H90" s="7" t="s">
        <v>51</v>
      </c>
      <c r="I90" s="9"/>
      <c r="J90" s="9">
        <v>7</v>
      </c>
      <c r="K90" s="9">
        <v>7</v>
      </c>
      <c r="L90" s="9"/>
      <c r="M90" s="9"/>
      <c r="N90" s="9"/>
      <c r="O90" s="9"/>
      <c r="P90" s="9">
        <v>29</v>
      </c>
      <c r="Q90" s="9"/>
    </row>
    <row r="91" spans="1:17" hidden="1" x14ac:dyDescent="0.45">
      <c r="A91" s="9" t="s">
        <v>49</v>
      </c>
      <c r="B91" s="9" t="s">
        <v>50</v>
      </c>
      <c r="C91" s="9"/>
      <c r="D91" s="9">
        <v>4</v>
      </c>
      <c r="E91" t="str">
        <f t="shared" si="0"/>
        <v>YO04</v>
      </c>
      <c r="F91" s="9" t="s">
        <v>25</v>
      </c>
      <c r="G91" s="9">
        <v>42</v>
      </c>
      <c r="H91" s="7" t="s">
        <v>51</v>
      </c>
      <c r="I91" s="9"/>
      <c r="J91" s="9">
        <v>3</v>
      </c>
      <c r="K91" s="9">
        <v>5</v>
      </c>
      <c r="L91" s="9"/>
      <c r="M91" s="9"/>
      <c r="N91" s="9"/>
      <c r="O91" s="9"/>
      <c r="P91" s="9">
        <v>36</v>
      </c>
      <c r="Q91" s="9"/>
    </row>
    <row r="92" spans="1:17" hidden="1" x14ac:dyDescent="0.45">
      <c r="A92" s="9" t="s">
        <v>49</v>
      </c>
      <c r="B92" s="9" t="s">
        <v>50</v>
      </c>
      <c r="C92" s="9"/>
      <c r="D92" s="9">
        <v>22</v>
      </c>
      <c r="E92" t="str">
        <f t="shared" si="0"/>
        <v>YO22</v>
      </c>
      <c r="F92" s="9" t="s">
        <v>25</v>
      </c>
      <c r="G92" s="9">
        <v>58</v>
      </c>
      <c r="H92" s="7" t="s">
        <v>51</v>
      </c>
      <c r="I92" s="9"/>
      <c r="J92" s="9">
        <v>15</v>
      </c>
      <c r="K92" s="9">
        <v>6</v>
      </c>
      <c r="L92" s="9"/>
      <c r="M92" s="9"/>
      <c r="N92" s="9"/>
      <c r="O92" s="9"/>
      <c r="P92" s="9">
        <v>48</v>
      </c>
      <c r="Q92" s="9"/>
    </row>
    <row r="93" spans="1:17" hidden="1" x14ac:dyDescent="0.45">
      <c r="A93" s="9" t="s">
        <v>49</v>
      </c>
      <c r="B93" s="9" t="s">
        <v>50</v>
      </c>
      <c r="C93" s="9"/>
      <c r="D93" s="9">
        <v>11</v>
      </c>
      <c r="E93" t="str">
        <f t="shared" si="0"/>
        <v>YO11</v>
      </c>
      <c r="F93" s="9" t="s">
        <v>25</v>
      </c>
      <c r="G93" s="9">
        <v>30</v>
      </c>
      <c r="H93" s="7" t="s">
        <v>51</v>
      </c>
      <c r="I93" s="9"/>
      <c r="J93" s="9">
        <v>4</v>
      </c>
      <c r="K93" s="9">
        <v>7</v>
      </c>
      <c r="L93" s="9"/>
      <c r="M93" s="9"/>
      <c r="N93" s="9"/>
      <c r="O93" s="9"/>
      <c r="P93" s="9">
        <v>26</v>
      </c>
      <c r="Q93" s="9"/>
    </row>
    <row r="94" spans="1:17" hidden="1" x14ac:dyDescent="0.45">
      <c r="A94" s="9" t="s">
        <v>49</v>
      </c>
      <c r="B94" s="9" t="s">
        <v>50</v>
      </c>
      <c r="C94" s="9"/>
      <c r="D94" s="9">
        <v>23</v>
      </c>
      <c r="E94" t="str">
        <f t="shared" si="0"/>
        <v>YO23</v>
      </c>
      <c r="F94" s="9" t="s">
        <v>25</v>
      </c>
      <c r="G94" s="9">
        <v>37</v>
      </c>
      <c r="H94" s="7" t="s">
        <v>51</v>
      </c>
      <c r="I94" s="9"/>
      <c r="J94" s="9">
        <v>3</v>
      </c>
      <c r="K94" s="9">
        <v>5</v>
      </c>
      <c r="L94" s="9"/>
      <c r="M94" s="9"/>
      <c r="N94" s="9"/>
      <c r="O94" s="9"/>
      <c r="P94" s="9">
        <v>76</v>
      </c>
      <c r="Q94" s="9"/>
    </row>
    <row r="95" spans="1:17" hidden="1" x14ac:dyDescent="0.45">
      <c r="A95" s="9" t="s">
        <v>49</v>
      </c>
      <c r="B95" s="9" t="s">
        <v>50</v>
      </c>
      <c r="C95" s="9"/>
      <c r="D95" s="9">
        <v>21</v>
      </c>
      <c r="E95" t="str">
        <f t="shared" si="0"/>
        <v>YO21</v>
      </c>
      <c r="F95" s="9" t="s">
        <v>25</v>
      </c>
      <c r="G95" s="9">
        <v>55</v>
      </c>
      <c r="H95" s="7" t="s">
        <v>51</v>
      </c>
      <c r="I95" s="9"/>
      <c r="J95" s="9">
        <v>7</v>
      </c>
      <c r="K95" s="9">
        <v>6</v>
      </c>
      <c r="L95" s="9"/>
      <c r="M95" s="9"/>
      <c r="N95" s="9"/>
      <c r="O95" s="9"/>
      <c r="P95" s="9">
        <v>48</v>
      </c>
      <c r="Q95" s="9"/>
    </row>
    <row r="96" spans="1:17" hidden="1" x14ac:dyDescent="0.45">
      <c r="A96" s="9" t="s">
        <v>49</v>
      </c>
      <c r="B96" s="9" t="s">
        <v>50</v>
      </c>
      <c r="C96" s="9"/>
      <c r="D96" s="9">
        <v>5</v>
      </c>
      <c r="E96" t="str">
        <f t="shared" si="0"/>
        <v>YO05</v>
      </c>
      <c r="F96" s="9" t="s">
        <v>25</v>
      </c>
      <c r="G96" s="9">
        <v>30</v>
      </c>
      <c r="H96" s="7" t="s">
        <v>51</v>
      </c>
      <c r="I96" s="9"/>
      <c r="J96" s="9">
        <v>7</v>
      </c>
      <c r="K96" s="9">
        <v>5</v>
      </c>
      <c r="L96" s="9"/>
      <c r="M96" s="9"/>
      <c r="N96" s="9"/>
      <c r="O96" s="9"/>
      <c r="P96" s="9">
        <v>38</v>
      </c>
      <c r="Q96" s="9"/>
    </row>
    <row r="97" spans="1:17" hidden="1" x14ac:dyDescent="0.45">
      <c r="A97" s="9" t="s">
        <v>49</v>
      </c>
      <c r="B97" s="9" t="s">
        <v>50</v>
      </c>
      <c r="C97" s="9"/>
      <c r="D97" s="9">
        <v>8</v>
      </c>
      <c r="E97" t="str">
        <f t="shared" si="0"/>
        <v>YO08</v>
      </c>
      <c r="F97" s="9" t="s">
        <v>25</v>
      </c>
      <c r="G97" s="9">
        <v>35</v>
      </c>
      <c r="H97" s="7" t="s">
        <v>51</v>
      </c>
      <c r="I97" s="9"/>
      <c r="J97" s="9">
        <v>4</v>
      </c>
      <c r="K97" s="9">
        <v>5</v>
      </c>
      <c r="L97" s="9"/>
      <c r="M97" s="9"/>
      <c r="N97" s="9"/>
      <c r="O97" s="9"/>
      <c r="P97" s="9">
        <v>33</v>
      </c>
      <c r="Q97" s="9"/>
    </row>
    <row r="98" spans="1:17" hidden="1" x14ac:dyDescent="0.45">
      <c r="A98" s="9" t="s">
        <v>49</v>
      </c>
      <c r="B98" s="9" t="s">
        <v>50</v>
      </c>
      <c r="C98" s="9"/>
      <c r="D98" s="9">
        <v>18</v>
      </c>
      <c r="E98" t="str">
        <f t="shared" si="0"/>
        <v>YO18</v>
      </c>
      <c r="F98" s="9" t="s">
        <v>25</v>
      </c>
      <c r="G98" s="9">
        <v>50</v>
      </c>
      <c r="H98" s="7" t="s">
        <v>51</v>
      </c>
      <c r="I98" s="9"/>
      <c r="J98" s="9">
        <v>2</v>
      </c>
      <c r="K98" s="9">
        <v>6</v>
      </c>
      <c r="L98" s="9"/>
      <c r="M98" s="9"/>
      <c r="N98" s="9"/>
      <c r="O98" s="9"/>
      <c r="P98" s="9">
        <v>43</v>
      </c>
      <c r="Q98" s="9"/>
    </row>
    <row r="99" spans="1:17" hidden="1" x14ac:dyDescent="0.45">
      <c r="A99" s="9" t="s">
        <v>49</v>
      </c>
      <c r="B99" s="9" t="s">
        <v>50</v>
      </c>
      <c r="C99" s="9"/>
      <c r="D99" s="9">
        <v>13</v>
      </c>
      <c r="E99" t="str">
        <f t="shared" si="0"/>
        <v>YO13</v>
      </c>
      <c r="F99" s="9" t="s">
        <v>25</v>
      </c>
      <c r="G99" s="9">
        <v>30</v>
      </c>
      <c r="H99" s="7" t="s">
        <v>51</v>
      </c>
      <c r="I99" s="9"/>
      <c r="J99" s="9">
        <v>7</v>
      </c>
      <c r="K99" s="9">
        <v>7</v>
      </c>
      <c r="L99" s="9"/>
      <c r="M99" s="9"/>
      <c r="N99" s="9"/>
      <c r="O99" s="9"/>
      <c r="P99" s="9">
        <v>28</v>
      </c>
      <c r="Q99" s="9"/>
    </row>
    <row r="100" spans="1:17" hidden="1" x14ac:dyDescent="0.45">
      <c r="A100" s="9" t="s">
        <v>49</v>
      </c>
      <c r="B100" s="9" t="s">
        <v>50</v>
      </c>
      <c r="C100" s="9"/>
      <c r="D100" s="9">
        <v>19</v>
      </c>
      <c r="E100" t="str">
        <f t="shared" si="0"/>
        <v>YO19</v>
      </c>
      <c r="F100" s="9" t="s">
        <v>25</v>
      </c>
      <c r="G100" s="9">
        <v>33</v>
      </c>
      <c r="H100" s="7" t="s">
        <v>51</v>
      </c>
      <c r="I100" s="9"/>
      <c r="J100" s="9">
        <v>4</v>
      </c>
      <c r="K100" s="9">
        <v>6</v>
      </c>
      <c r="L100" s="9"/>
      <c r="M100" s="9"/>
      <c r="N100" s="9"/>
      <c r="O100" s="9"/>
      <c r="P100" s="9">
        <v>42</v>
      </c>
      <c r="Q100" s="9"/>
    </row>
    <row r="101" spans="1:17" hidden="1" x14ac:dyDescent="0.45">
      <c r="A101" s="9" t="s">
        <v>49</v>
      </c>
      <c r="B101" s="9" t="s">
        <v>50</v>
      </c>
      <c r="C101" s="9"/>
      <c r="D101" s="9">
        <v>2</v>
      </c>
      <c r="E101" t="str">
        <f t="shared" si="0"/>
        <v>YO02</v>
      </c>
      <c r="F101" s="9" t="s">
        <v>25</v>
      </c>
      <c r="G101" s="9">
        <v>50</v>
      </c>
      <c r="H101" s="7" t="s">
        <v>51</v>
      </c>
      <c r="I101" s="9"/>
      <c r="J101" s="9">
        <v>1</v>
      </c>
      <c r="K101" s="9">
        <v>5</v>
      </c>
      <c r="L101" s="9"/>
      <c r="M101" s="9"/>
      <c r="N101" s="9"/>
      <c r="O101" s="9"/>
      <c r="P101" s="9">
        <v>32</v>
      </c>
      <c r="Q101" s="9"/>
    </row>
    <row r="102" spans="1:17" hidden="1" x14ac:dyDescent="0.45">
      <c r="A102" s="9" t="s">
        <v>49</v>
      </c>
      <c r="B102" s="9" t="s">
        <v>50</v>
      </c>
      <c r="C102" s="9"/>
      <c r="D102" s="9">
        <v>25</v>
      </c>
      <c r="E102" t="str">
        <f t="shared" si="0"/>
        <v>YO25</v>
      </c>
      <c r="F102" s="9" t="s">
        <v>25</v>
      </c>
      <c r="G102" s="9">
        <v>28</v>
      </c>
      <c r="H102" s="7" t="s">
        <v>51</v>
      </c>
      <c r="I102" s="9" t="s">
        <v>55</v>
      </c>
      <c r="J102" s="9">
        <v>8</v>
      </c>
      <c r="K102" s="9">
        <v>6</v>
      </c>
      <c r="L102" s="9"/>
      <c r="M102" s="9"/>
      <c r="N102" s="9"/>
      <c r="O102" s="9"/>
      <c r="P102" s="9">
        <v>44</v>
      </c>
      <c r="Q102" s="9"/>
    </row>
    <row r="103" spans="1:17" hidden="1" x14ac:dyDescent="0.45">
      <c r="A103" s="9" t="s">
        <v>49</v>
      </c>
      <c r="B103" s="9" t="s">
        <v>50</v>
      </c>
      <c r="C103" s="9"/>
      <c r="D103" s="9">
        <v>12</v>
      </c>
      <c r="E103" t="str">
        <f t="shared" si="0"/>
        <v>YO12</v>
      </c>
      <c r="F103" s="9" t="s">
        <v>25</v>
      </c>
      <c r="G103" s="9">
        <v>27</v>
      </c>
      <c r="H103" s="7" t="s">
        <v>51</v>
      </c>
      <c r="I103" s="13"/>
      <c r="J103" s="9">
        <v>7</v>
      </c>
      <c r="K103" s="9">
        <v>7</v>
      </c>
      <c r="L103" s="9"/>
      <c r="M103" s="9"/>
      <c r="N103" s="9"/>
      <c r="O103" s="9"/>
      <c r="P103" s="9">
        <v>25</v>
      </c>
      <c r="Q103" s="9"/>
    </row>
    <row r="104" spans="1:17" hidden="1" x14ac:dyDescent="0.45">
      <c r="A104" s="9" t="s">
        <v>49</v>
      </c>
      <c r="B104" s="9" t="s">
        <v>50</v>
      </c>
      <c r="C104" s="9"/>
      <c r="D104" s="9">
        <v>24</v>
      </c>
      <c r="E104" t="str">
        <f t="shared" si="0"/>
        <v>YO24</v>
      </c>
      <c r="F104" s="9" t="s">
        <v>25</v>
      </c>
      <c r="G104" s="9">
        <v>25</v>
      </c>
      <c r="H104" s="7" t="s">
        <v>51</v>
      </c>
      <c r="I104" s="10" t="s">
        <v>54</v>
      </c>
      <c r="J104" s="9">
        <v>5</v>
      </c>
      <c r="K104" s="9"/>
      <c r="L104" s="9"/>
      <c r="M104" s="9"/>
      <c r="N104" s="9"/>
      <c r="O104" s="9"/>
      <c r="P104" s="9"/>
      <c r="Q104" s="9"/>
    </row>
    <row r="105" spans="1:17" hidden="1" x14ac:dyDescent="0.45">
      <c r="A105" s="9" t="s">
        <v>49</v>
      </c>
      <c r="B105" s="9" t="s">
        <v>50</v>
      </c>
      <c r="C105" s="9"/>
      <c r="D105" s="9">
        <v>26</v>
      </c>
      <c r="E105" t="str">
        <f t="shared" si="0"/>
        <v>YO26</v>
      </c>
      <c r="F105" s="9" t="s">
        <v>25</v>
      </c>
      <c r="G105" s="9">
        <v>24</v>
      </c>
      <c r="H105" s="7" t="s">
        <v>51</v>
      </c>
      <c r="I105" s="9"/>
      <c r="J105" s="9">
        <v>3</v>
      </c>
      <c r="K105" s="9"/>
      <c r="L105" s="9"/>
      <c r="M105" s="9"/>
      <c r="N105" s="9"/>
      <c r="O105" s="9"/>
      <c r="P105" s="9"/>
      <c r="Q105" s="9"/>
    </row>
    <row r="106" spans="1:17" hidden="1" x14ac:dyDescent="0.45">
      <c r="A106" s="9" t="s">
        <v>49</v>
      </c>
      <c r="B106" s="9" t="s">
        <v>50</v>
      </c>
      <c r="C106" s="9"/>
      <c r="D106" s="9">
        <v>17</v>
      </c>
      <c r="E106" t="str">
        <f t="shared" si="0"/>
        <v>YO17</v>
      </c>
      <c r="F106" s="9" t="s">
        <v>25</v>
      </c>
      <c r="G106" s="9">
        <v>23</v>
      </c>
      <c r="H106" s="7" t="s">
        <v>51</v>
      </c>
      <c r="I106" s="9"/>
      <c r="J106" s="9">
        <v>4</v>
      </c>
      <c r="K106" s="9">
        <v>7</v>
      </c>
      <c r="L106" s="9"/>
      <c r="M106" s="9"/>
      <c r="N106" s="9"/>
      <c r="O106" s="9"/>
      <c r="P106" s="9">
        <v>27</v>
      </c>
      <c r="Q106" s="9"/>
    </row>
    <row r="107" spans="1:17" hidden="1" x14ac:dyDescent="0.45">
      <c r="A107" s="9" t="s">
        <v>49</v>
      </c>
      <c r="B107" s="9" t="s">
        <v>50</v>
      </c>
      <c r="C107" s="9"/>
      <c r="D107" s="9">
        <v>3</v>
      </c>
      <c r="E107" t="str">
        <f t="shared" si="0"/>
        <v>YO03</v>
      </c>
      <c r="F107" s="9" t="s">
        <v>25</v>
      </c>
      <c r="G107" s="9">
        <v>21</v>
      </c>
      <c r="H107" s="7" t="s">
        <v>51</v>
      </c>
      <c r="I107" s="9"/>
      <c r="J107" s="9">
        <v>2</v>
      </c>
      <c r="K107" s="9">
        <v>5</v>
      </c>
      <c r="L107" s="9"/>
      <c r="M107" s="9"/>
      <c r="N107" s="9"/>
      <c r="O107" s="9"/>
      <c r="P107" s="9">
        <v>40</v>
      </c>
      <c r="Q107" s="9"/>
    </row>
    <row r="108" spans="1:17" hidden="1" x14ac:dyDescent="0.45">
      <c r="A108" s="9" t="s">
        <v>49</v>
      </c>
      <c r="B108" s="9" t="s">
        <v>50</v>
      </c>
      <c r="C108" s="9"/>
      <c r="D108" s="9">
        <v>10</v>
      </c>
      <c r="E108" t="str">
        <f t="shared" si="0"/>
        <v>YO10</v>
      </c>
      <c r="F108" s="9" t="s">
        <v>25</v>
      </c>
      <c r="G108" s="9">
        <v>18</v>
      </c>
      <c r="H108" s="7" t="s">
        <v>51</v>
      </c>
      <c r="I108" s="9"/>
      <c r="J108" s="9">
        <v>4</v>
      </c>
      <c r="K108" s="9">
        <v>7</v>
      </c>
      <c r="L108" s="9"/>
      <c r="M108" s="9"/>
      <c r="N108" s="9"/>
      <c r="O108" s="9"/>
      <c r="P108" s="9">
        <v>29</v>
      </c>
      <c r="Q108" s="9"/>
    </row>
    <row r="109" spans="1:17" hidden="1" x14ac:dyDescent="0.45">
      <c r="A109" s="9" t="s">
        <v>49</v>
      </c>
      <c r="B109" s="9" t="s">
        <v>50</v>
      </c>
      <c r="C109" s="9"/>
      <c r="D109" s="9">
        <v>7</v>
      </c>
      <c r="E109" t="str">
        <f t="shared" si="0"/>
        <v>YO07</v>
      </c>
      <c r="F109" s="9" t="s">
        <v>25</v>
      </c>
      <c r="G109" s="9">
        <v>13</v>
      </c>
      <c r="H109" s="7" t="s">
        <v>51</v>
      </c>
      <c r="I109" s="9"/>
      <c r="J109" s="9">
        <v>3</v>
      </c>
      <c r="K109" s="9">
        <v>5</v>
      </c>
      <c r="L109" s="9"/>
      <c r="M109" s="9"/>
      <c r="N109" s="9"/>
      <c r="O109" s="9"/>
      <c r="P109" s="9">
        <v>35</v>
      </c>
      <c r="Q109" s="9"/>
    </row>
    <row r="110" spans="1:17" hidden="1" x14ac:dyDescent="0.45">
      <c r="A110" s="9" t="s">
        <v>49</v>
      </c>
      <c r="B110" s="9" t="s">
        <v>50</v>
      </c>
      <c r="C110" s="9"/>
      <c r="D110" s="9">
        <v>9</v>
      </c>
      <c r="E110" t="str">
        <f t="shared" si="0"/>
        <v>YO09</v>
      </c>
      <c r="F110" s="9" t="s">
        <v>25</v>
      </c>
      <c r="G110" s="9">
        <v>3</v>
      </c>
      <c r="H110" s="7" t="s">
        <v>51</v>
      </c>
      <c r="I110" s="9"/>
      <c r="J110" s="9">
        <v>3</v>
      </c>
      <c r="K110" s="9">
        <v>5</v>
      </c>
      <c r="L110" s="9"/>
      <c r="M110" s="9"/>
      <c r="N110" s="9"/>
      <c r="O110" s="9"/>
      <c r="P110" s="9">
        <v>37</v>
      </c>
      <c r="Q110" s="9"/>
    </row>
    <row r="111" spans="1:17" hidden="1" x14ac:dyDescent="0.45">
      <c r="A111" s="9" t="s">
        <v>49</v>
      </c>
      <c r="B111" s="9" t="s">
        <v>50</v>
      </c>
      <c r="C111" s="9"/>
      <c r="D111" s="9">
        <v>6</v>
      </c>
      <c r="E111" t="str">
        <f t="shared" si="0"/>
        <v>YO06</v>
      </c>
      <c r="F111" s="9" t="s">
        <v>25</v>
      </c>
      <c r="G111" s="14">
        <v>1</v>
      </c>
      <c r="H111" s="7" t="s">
        <v>51</v>
      </c>
      <c r="I111" s="9"/>
      <c r="J111" s="9">
        <v>3</v>
      </c>
      <c r="K111" s="9">
        <v>5</v>
      </c>
      <c r="L111" s="9"/>
      <c r="M111" s="9"/>
      <c r="N111" s="9"/>
      <c r="O111" s="9"/>
      <c r="P111" s="9">
        <v>41</v>
      </c>
      <c r="Q111" s="9"/>
    </row>
    <row r="112" spans="1:17" hidden="1" x14ac:dyDescent="0.45">
      <c r="A112" s="14" t="s">
        <v>49</v>
      </c>
      <c r="F112" s="14" t="s">
        <v>56</v>
      </c>
      <c r="G112" s="14">
        <v>0.5</v>
      </c>
    </row>
    <row r="113" spans="1:10" hidden="1" x14ac:dyDescent="0.45">
      <c r="A113" s="14" t="s">
        <v>49</v>
      </c>
      <c r="F113" s="14" t="s">
        <v>56</v>
      </c>
      <c r="G113" s="14">
        <v>0.6</v>
      </c>
    </row>
    <row r="114" spans="1:10" hidden="1" x14ac:dyDescent="0.45">
      <c r="A114" s="14" t="s">
        <v>49</v>
      </c>
      <c r="F114" s="14" t="s">
        <v>56</v>
      </c>
      <c r="G114" s="14">
        <v>0.5</v>
      </c>
    </row>
    <row r="115" spans="1:10" hidden="1" x14ac:dyDescent="0.45">
      <c r="A115" s="14" t="s">
        <v>49</v>
      </c>
      <c r="F115" s="14" t="s">
        <v>56</v>
      </c>
      <c r="G115" s="14">
        <v>1</v>
      </c>
    </row>
    <row r="116" spans="1:10" hidden="1" x14ac:dyDescent="0.45">
      <c r="A116" s="14" t="s">
        <v>49</v>
      </c>
      <c r="F116" s="14" t="s">
        <v>56</v>
      </c>
      <c r="G116" s="14">
        <v>0.3</v>
      </c>
    </row>
    <row r="117" spans="1:10" hidden="1" x14ac:dyDescent="0.45">
      <c r="A117" s="14" t="s">
        <v>49</v>
      </c>
      <c r="F117" s="14" t="s">
        <v>56</v>
      </c>
      <c r="G117" s="14">
        <v>0.7</v>
      </c>
    </row>
    <row r="118" spans="1:10" hidden="1" x14ac:dyDescent="0.45">
      <c r="A118" s="14" t="s">
        <v>49</v>
      </c>
      <c r="F118" s="14" t="s">
        <v>56</v>
      </c>
      <c r="G118" s="14">
        <v>0.8</v>
      </c>
    </row>
    <row r="119" spans="1:10" hidden="1" x14ac:dyDescent="0.45">
      <c r="A119" s="14" t="s">
        <v>49</v>
      </c>
      <c r="F119" s="14" t="s">
        <v>56</v>
      </c>
      <c r="G119" s="14">
        <v>0</v>
      </c>
    </row>
    <row r="120" spans="1:10" hidden="1" x14ac:dyDescent="0.45">
      <c r="A120" s="14" t="s">
        <v>49</v>
      </c>
      <c r="F120" s="14" t="s">
        <v>56</v>
      </c>
      <c r="G120" s="14">
        <v>2</v>
      </c>
    </row>
    <row r="121" spans="1:10" hidden="1" x14ac:dyDescent="0.45">
      <c r="A121" s="14" t="s">
        <v>49</v>
      </c>
      <c r="F121" s="14" t="s">
        <v>56</v>
      </c>
      <c r="G121" s="14">
        <v>0.53</v>
      </c>
    </row>
    <row r="122" spans="1:10" hidden="1" x14ac:dyDescent="0.45">
      <c r="A122" s="14" t="s">
        <v>49</v>
      </c>
      <c r="F122" s="14" t="s">
        <v>56</v>
      </c>
      <c r="G122" s="14">
        <v>22</v>
      </c>
    </row>
    <row r="123" spans="1:10" hidden="1" x14ac:dyDescent="0.45">
      <c r="A123" s="14" t="s">
        <v>49</v>
      </c>
      <c r="E123" s="14">
        <v>1</v>
      </c>
      <c r="F123" s="14" t="s">
        <v>52</v>
      </c>
      <c r="G123" s="14">
        <v>25</v>
      </c>
      <c r="J123" s="14">
        <v>9</v>
      </c>
    </row>
    <row r="124" spans="1:10" hidden="1" x14ac:dyDescent="0.45">
      <c r="A124" s="14" t="s">
        <v>49</v>
      </c>
      <c r="E124" s="14">
        <v>2</v>
      </c>
      <c r="F124" s="14" t="s">
        <v>52</v>
      </c>
      <c r="G124" s="14">
        <v>13</v>
      </c>
    </row>
    <row r="125" spans="1:10" hidden="1" x14ac:dyDescent="0.45">
      <c r="A125" s="14" t="s">
        <v>49</v>
      </c>
      <c r="E125" s="14">
        <v>3</v>
      </c>
      <c r="F125" s="14" t="s">
        <v>52</v>
      </c>
      <c r="G125" s="14">
        <v>18</v>
      </c>
      <c r="J125" s="14">
        <v>13</v>
      </c>
    </row>
    <row r="126" spans="1:10" hidden="1" x14ac:dyDescent="0.45">
      <c r="A126" s="14" t="s">
        <v>49</v>
      </c>
      <c r="E126" s="14">
        <v>4</v>
      </c>
      <c r="F126" s="14" t="s">
        <v>52</v>
      </c>
      <c r="G126" s="14">
        <v>21</v>
      </c>
      <c r="J126" s="14">
        <v>4</v>
      </c>
    </row>
    <row r="127" spans="1:10" hidden="1" x14ac:dyDescent="0.45">
      <c r="A127" s="14" t="s">
        <v>49</v>
      </c>
      <c r="E127" s="14">
        <v>5</v>
      </c>
      <c r="F127" s="14" t="s">
        <v>52</v>
      </c>
      <c r="G127" s="14">
        <v>32</v>
      </c>
      <c r="J127" s="14">
        <v>28</v>
      </c>
    </row>
    <row r="128" spans="1:10" hidden="1" x14ac:dyDescent="0.45">
      <c r="A128" s="14" t="s">
        <v>49</v>
      </c>
      <c r="E128" s="14">
        <v>6</v>
      </c>
      <c r="F128" s="14" t="s">
        <v>52</v>
      </c>
      <c r="G128" s="14">
        <v>40</v>
      </c>
      <c r="J128" s="14">
        <v>14</v>
      </c>
    </row>
    <row r="129" spans="1:10" hidden="1" x14ac:dyDescent="0.45">
      <c r="A129" s="14" t="s">
        <v>49</v>
      </c>
      <c r="E129" s="14">
        <v>7</v>
      </c>
      <c r="F129" s="14" t="s">
        <v>52</v>
      </c>
      <c r="G129" s="14">
        <v>15</v>
      </c>
      <c r="J129" s="14">
        <v>6</v>
      </c>
    </row>
    <row r="130" spans="1:10" hidden="1" x14ac:dyDescent="0.45">
      <c r="A130" s="14" t="s">
        <v>49</v>
      </c>
      <c r="E130" s="14">
        <v>8</v>
      </c>
      <c r="F130" s="14" t="s">
        <v>52</v>
      </c>
      <c r="G130" s="14">
        <v>9</v>
      </c>
      <c r="J130" s="14">
        <v>8</v>
      </c>
    </row>
    <row r="131" spans="1:10" hidden="1" x14ac:dyDescent="0.45">
      <c r="A131" s="14" t="s">
        <v>49</v>
      </c>
      <c r="F131" s="14" t="s">
        <v>57</v>
      </c>
      <c r="G131" s="14">
        <v>11</v>
      </c>
    </row>
    <row r="132" spans="1:10" hidden="1" x14ac:dyDescent="0.45">
      <c r="A132" s="14" t="s">
        <v>49</v>
      </c>
      <c r="F132" s="14" t="s">
        <v>57</v>
      </c>
      <c r="G132" s="14">
        <v>23</v>
      </c>
    </row>
    <row r="133" spans="1:10" hidden="1" x14ac:dyDescent="0.45">
      <c r="A133" s="14" t="s">
        <v>49</v>
      </c>
      <c r="F133" s="14" t="s">
        <v>57</v>
      </c>
      <c r="G133" s="14">
        <v>11</v>
      </c>
    </row>
    <row r="134" spans="1:10" hidden="1" x14ac:dyDescent="0.45">
      <c r="A134" s="14" t="s">
        <v>49</v>
      </c>
      <c r="F134" s="14" t="s">
        <v>57</v>
      </c>
      <c r="G134" s="14">
        <v>9</v>
      </c>
    </row>
    <row r="135" spans="1:10" hidden="1" x14ac:dyDescent="0.45">
      <c r="A135" s="14" t="s">
        <v>49</v>
      </c>
      <c r="F135" s="14" t="s">
        <v>57</v>
      </c>
      <c r="G135" s="14">
        <v>20</v>
      </c>
    </row>
    <row r="136" spans="1:10" hidden="1" x14ac:dyDescent="0.45">
      <c r="A136" s="14" t="s">
        <v>49</v>
      </c>
      <c r="F136" s="14" t="s">
        <v>57</v>
      </c>
      <c r="G136" s="14">
        <v>16</v>
      </c>
    </row>
    <row r="137" spans="1:10" hidden="1" x14ac:dyDescent="0.45">
      <c r="A137" s="14" t="s">
        <v>49</v>
      </c>
      <c r="F137" s="14" t="s">
        <v>57</v>
      </c>
      <c r="G137" s="14">
        <v>18</v>
      </c>
    </row>
    <row r="138" spans="1:10" hidden="1" x14ac:dyDescent="0.45">
      <c r="A138" s="14" t="s">
        <v>49</v>
      </c>
      <c r="F138" s="14" t="s">
        <v>57</v>
      </c>
      <c r="G138" s="14">
        <v>20</v>
      </c>
    </row>
    <row r="139" spans="1:10" hidden="1" x14ac:dyDescent="0.45">
      <c r="A139" s="14" t="s">
        <v>49</v>
      </c>
      <c r="F139" s="14" t="s">
        <v>57</v>
      </c>
      <c r="G139" s="14">
        <v>12</v>
      </c>
    </row>
    <row r="140" spans="1:10" hidden="1" x14ac:dyDescent="0.45">
      <c r="A140" s="14" t="s">
        <v>49</v>
      </c>
      <c r="F140" s="14" t="s">
        <v>57</v>
      </c>
      <c r="G140" s="14">
        <v>11</v>
      </c>
    </row>
    <row r="141" spans="1:10" hidden="1" x14ac:dyDescent="0.45">
      <c r="A141" s="14" t="s">
        <v>49</v>
      </c>
      <c r="F141" s="14" t="s">
        <v>57</v>
      </c>
      <c r="G141" s="14">
        <v>20</v>
      </c>
    </row>
    <row r="142" spans="1:10" hidden="1" x14ac:dyDescent="0.45">
      <c r="A142" s="14" t="s">
        <v>49</v>
      </c>
      <c r="F142" s="14" t="s">
        <v>57</v>
      </c>
      <c r="G142" s="14">
        <v>9</v>
      </c>
    </row>
    <row r="143" spans="1:10" hidden="1" x14ac:dyDescent="0.45">
      <c r="A143" s="14" t="s">
        <v>49</v>
      </c>
      <c r="F143" s="14" t="s">
        <v>57</v>
      </c>
      <c r="G143" s="14">
        <v>18</v>
      </c>
    </row>
    <row r="144" spans="1:10" hidden="1" x14ac:dyDescent="0.45">
      <c r="A144" s="14" t="s">
        <v>49</v>
      </c>
      <c r="F144" s="14" t="s">
        <v>57</v>
      </c>
      <c r="G144" s="14">
        <v>9</v>
      </c>
    </row>
    <row r="145" spans="1:7" hidden="1" x14ac:dyDescent="0.45">
      <c r="A145" s="14" t="s">
        <v>49</v>
      </c>
      <c r="F145" s="14" t="s">
        <v>57</v>
      </c>
      <c r="G145" s="14">
        <v>17</v>
      </c>
    </row>
    <row r="146" spans="1:7" hidden="1" x14ac:dyDescent="0.45">
      <c r="A146" s="14" t="s">
        <v>49</v>
      </c>
      <c r="F146" s="14" t="s">
        <v>57</v>
      </c>
      <c r="G146" s="14">
        <v>12</v>
      </c>
    </row>
    <row r="147" spans="1:7" hidden="1" x14ac:dyDescent="0.45">
      <c r="A147" s="14" t="s">
        <v>49</v>
      </c>
      <c r="F147" s="14" t="s">
        <v>57</v>
      </c>
      <c r="G147" s="14">
        <v>8</v>
      </c>
    </row>
    <row r="148" spans="1:7" hidden="1" x14ac:dyDescent="0.45">
      <c r="A148" s="14" t="s">
        <v>49</v>
      </c>
      <c r="F148" s="14" t="s">
        <v>57</v>
      </c>
      <c r="G148" s="14">
        <v>18</v>
      </c>
    </row>
    <row r="149" spans="1:7" hidden="1" x14ac:dyDescent="0.45">
      <c r="A149" s="14" t="s">
        <v>49</v>
      </c>
      <c r="F149" s="14" t="s">
        <v>57</v>
      </c>
      <c r="G149" s="14">
        <v>13</v>
      </c>
    </row>
    <row r="150" spans="1:7" hidden="1" x14ac:dyDescent="0.45">
      <c r="A150" s="14" t="s">
        <v>49</v>
      </c>
      <c r="F150" s="14" t="s">
        <v>57</v>
      </c>
      <c r="G150" s="14">
        <v>7</v>
      </c>
    </row>
    <row r="151" spans="1:7" hidden="1" x14ac:dyDescent="0.45">
      <c r="A151" s="14" t="s">
        <v>49</v>
      </c>
      <c r="F151" s="14" t="s">
        <v>57</v>
      </c>
      <c r="G151" s="14">
        <v>21</v>
      </c>
    </row>
    <row r="152" spans="1:7" hidden="1" x14ac:dyDescent="0.45">
      <c r="A152" s="14" t="s">
        <v>49</v>
      </c>
      <c r="F152" s="14" t="s">
        <v>57</v>
      </c>
      <c r="G152" s="14">
        <v>13</v>
      </c>
    </row>
    <row r="153" spans="1:7" hidden="1" x14ac:dyDescent="0.45">
      <c r="A153" s="14" t="s">
        <v>49</v>
      </c>
      <c r="F153" s="14" t="s">
        <v>57</v>
      </c>
      <c r="G153" s="14">
        <v>12</v>
      </c>
    </row>
    <row r="154" spans="1:7" hidden="1" x14ac:dyDescent="0.45">
      <c r="A154" s="14" t="s">
        <v>49</v>
      </c>
      <c r="F154" s="14" t="s">
        <v>57</v>
      </c>
      <c r="G154" s="14">
        <v>9</v>
      </c>
    </row>
    <row r="155" spans="1:7" hidden="1" x14ac:dyDescent="0.45">
      <c r="A155" s="14" t="s">
        <v>49</v>
      </c>
      <c r="F155" s="14" t="s">
        <v>57</v>
      </c>
      <c r="G155" s="14">
        <v>7</v>
      </c>
    </row>
    <row r="156" spans="1:7" hidden="1" x14ac:dyDescent="0.45">
      <c r="A156" s="14" t="s">
        <v>49</v>
      </c>
      <c r="F156" s="14" t="s">
        <v>57</v>
      </c>
      <c r="G156" s="14">
        <v>2</v>
      </c>
    </row>
    <row r="157" spans="1:7" hidden="1" x14ac:dyDescent="0.45">
      <c r="A157" s="14" t="s">
        <v>49</v>
      </c>
      <c r="F157" s="14" t="s">
        <v>57</v>
      </c>
      <c r="G157" s="14">
        <v>10</v>
      </c>
    </row>
    <row r="158" spans="1:7" hidden="1" x14ac:dyDescent="0.45">
      <c r="A158" s="14" t="s">
        <v>49</v>
      </c>
      <c r="F158" s="14" t="s">
        <v>57</v>
      </c>
      <c r="G158" s="14">
        <v>12</v>
      </c>
    </row>
    <row r="159" spans="1:7" hidden="1" x14ac:dyDescent="0.45">
      <c r="A159" s="14" t="s">
        <v>49</v>
      </c>
      <c r="F159" s="14" t="s">
        <v>57</v>
      </c>
      <c r="G159" s="14">
        <v>17</v>
      </c>
    </row>
    <row r="160" spans="1:7" hidden="1" x14ac:dyDescent="0.45">
      <c r="A160" s="14" t="s">
        <v>49</v>
      </c>
      <c r="F160" s="14" t="s">
        <v>57</v>
      </c>
      <c r="G160" s="14">
        <v>10</v>
      </c>
    </row>
    <row r="161" spans="1:7" hidden="1" x14ac:dyDescent="0.45">
      <c r="A161" s="14" t="s">
        <v>49</v>
      </c>
      <c r="F161" s="14" t="s">
        <v>57</v>
      </c>
      <c r="G161" s="14">
        <v>17</v>
      </c>
    </row>
    <row r="162" spans="1:7" hidden="1" x14ac:dyDescent="0.45">
      <c r="A162" s="14" t="s">
        <v>49</v>
      </c>
      <c r="F162" s="14" t="s">
        <v>57</v>
      </c>
      <c r="G162" s="14">
        <v>10</v>
      </c>
    </row>
    <row r="163" spans="1:7" hidden="1" x14ac:dyDescent="0.45">
      <c r="A163" s="14" t="s">
        <v>49</v>
      </c>
      <c r="F163" s="14" t="s">
        <v>57</v>
      </c>
      <c r="G163" s="14">
        <v>2</v>
      </c>
    </row>
    <row r="164" spans="1:7" hidden="1" x14ac:dyDescent="0.45">
      <c r="A164" s="14" t="s">
        <v>49</v>
      </c>
      <c r="F164" s="14" t="s">
        <v>57</v>
      </c>
      <c r="G164" s="14">
        <v>30</v>
      </c>
    </row>
    <row r="165" spans="1:7" hidden="1" x14ac:dyDescent="0.45">
      <c r="A165" s="14" t="s">
        <v>49</v>
      </c>
      <c r="F165" s="14" t="s">
        <v>57</v>
      </c>
    </row>
    <row r="189" spans="7:7" x14ac:dyDescent="0.45">
      <c r="G189">
        <f>SUBTOTAL(9,G85:G188)</f>
        <v>0</v>
      </c>
    </row>
    <row r="190" spans="7:7" x14ac:dyDescent="0.45">
      <c r="G190">
        <f>SUBTOTAL(9,G86:G189)</f>
        <v>0</v>
      </c>
    </row>
  </sheetData>
  <autoFilter ref="A1:Q165" xr:uid="{A5660440-BAB3-4DDC-81EE-82FEA5778EBF}">
    <filterColumn colId="12">
      <filters>
        <filter val="2"/>
      </filters>
    </filterColumn>
    <filterColumn colId="14">
      <filters>
        <filter val="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2380-045C-4E65-BD23-3A816EE7B452}">
  <dimension ref="A1:G22"/>
  <sheetViews>
    <sheetView workbookViewId="0">
      <selection sqref="A1:G22"/>
    </sheetView>
  </sheetViews>
  <sheetFormatPr defaultRowHeight="14.25" x14ac:dyDescent="0.45"/>
  <sheetData>
    <row r="1" spans="1:7" x14ac:dyDescent="0.45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</row>
    <row r="2" spans="1:7" x14ac:dyDescent="0.45">
      <c r="A2" t="s">
        <v>192</v>
      </c>
      <c r="B2" s="4">
        <v>0.57986111111111116</v>
      </c>
      <c r="C2" t="s">
        <v>193</v>
      </c>
      <c r="D2">
        <v>12.1</v>
      </c>
      <c r="E2">
        <v>7.97</v>
      </c>
      <c r="G2" t="s">
        <v>194</v>
      </c>
    </row>
    <row r="3" spans="1:7" x14ac:dyDescent="0.45">
      <c r="A3" t="s">
        <v>192</v>
      </c>
      <c r="B3" s="4">
        <v>0.57986111111111116</v>
      </c>
      <c r="C3" t="s">
        <v>195</v>
      </c>
      <c r="D3">
        <v>12.2</v>
      </c>
      <c r="E3">
        <v>8</v>
      </c>
      <c r="G3" t="s">
        <v>194</v>
      </c>
    </row>
    <row r="4" spans="1:7" x14ac:dyDescent="0.45">
      <c r="A4" t="s">
        <v>192</v>
      </c>
      <c r="B4" s="4">
        <v>0.57986111111111116</v>
      </c>
      <c r="C4" t="s">
        <v>196</v>
      </c>
      <c r="D4">
        <v>11.9</v>
      </c>
      <c r="E4">
        <v>8.0500000000000007</v>
      </c>
      <c r="G4" t="s">
        <v>194</v>
      </c>
    </row>
    <row r="5" spans="1:7" x14ac:dyDescent="0.45">
      <c r="A5" t="s">
        <v>192</v>
      </c>
      <c r="B5" s="4">
        <v>0.57986111111111116</v>
      </c>
      <c r="C5" t="s">
        <v>197</v>
      </c>
      <c r="D5">
        <v>12</v>
      </c>
      <c r="E5">
        <v>8.0299999999999994</v>
      </c>
      <c r="G5" t="s">
        <v>194</v>
      </c>
    </row>
    <row r="6" spans="1:7" x14ac:dyDescent="0.45">
      <c r="A6" t="s">
        <v>192</v>
      </c>
      <c r="B6" s="4">
        <v>0.57986111111111116</v>
      </c>
      <c r="C6" t="s">
        <v>198</v>
      </c>
      <c r="D6">
        <v>11.09</v>
      </c>
      <c r="E6">
        <v>8.06</v>
      </c>
      <c r="G6" t="s">
        <v>194</v>
      </c>
    </row>
    <row r="7" spans="1:7" x14ac:dyDescent="0.45">
      <c r="A7" t="s">
        <v>192</v>
      </c>
      <c r="B7" s="4">
        <v>0.57986111111111116</v>
      </c>
      <c r="C7" t="s">
        <v>199</v>
      </c>
      <c r="D7">
        <v>12</v>
      </c>
      <c r="E7">
        <v>8.0399999999999991</v>
      </c>
      <c r="G7" t="s">
        <v>194</v>
      </c>
    </row>
    <row r="8" spans="1:7" x14ac:dyDescent="0.45">
      <c r="A8" t="s">
        <v>192</v>
      </c>
      <c r="B8" s="4">
        <v>0.57986111111111116</v>
      </c>
      <c r="C8" t="s">
        <v>200</v>
      </c>
      <c r="D8">
        <v>12</v>
      </c>
      <c r="E8">
        <v>8.0500000000000007</v>
      </c>
      <c r="G8" t="s">
        <v>194</v>
      </c>
    </row>
    <row r="9" spans="1:7" x14ac:dyDescent="0.45">
      <c r="A9" t="s">
        <v>201</v>
      </c>
      <c r="B9" s="4">
        <v>0.66666666666666663</v>
      </c>
      <c r="C9" t="s">
        <v>193</v>
      </c>
      <c r="D9">
        <v>16.5</v>
      </c>
      <c r="E9">
        <v>7.94</v>
      </c>
      <c r="F9">
        <v>36</v>
      </c>
      <c r="G9" t="s">
        <v>202</v>
      </c>
    </row>
    <row r="10" spans="1:7" x14ac:dyDescent="0.45">
      <c r="A10" t="s">
        <v>201</v>
      </c>
      <c r="B10" s="4">
        <v>0.66666666666666663</v>
      </c>
      <c r="C10" t="s">
        <v>195</v>
      </c>
      <c r="D10">
        <v>15.9</v>
      </c>
      <c r="E10">
        <v>7.98</v>
      </c>
      <c r="F10">
        <v>36</v>
      </c>
      <c r="G10" t="s">
        <v>202</v>
      </c>
    </row>
    <row r="11" spans="1:7" x14ac:dyDescent="0.45">
      <c r="A11" t="s">
        <v>201</v>
      </c>
      <c r="B11" s="4">
        <v>0.66666666666666663</v>
      </c>
      <c r="C11" t="s">
        <v>196</v>
      </c>
      <c r="D11">
        <v>15.6</v>
      </c>
      <c r="E11">
        <v>8.01</v>
      </c>
      <c r="F11">
        <v>36</v>
      </c>
      <c r="G11" t="s">
        <v>202</v>
      </c>
    </row>
    <row r="12" spans="1:7" x14ac:dyDescent="0.45">
      <c r="A12" t="s">
        <v>201</v>
      </c>
      <c r="B12" s="4">
        <v>0.66666666666666663</v>
      </c>
      <c r="C12" t="s">
        <v>197</v>
      </c>
      <c r="D12">
        <v>15.5</v>
      </c>
      <c r="E12">
        <v>7.95</v>
      </c>
      <c r="F12">
        <v>36</v>
      </c>
      <c r="G12" t="s">
        <v>202</v>
      </c>
    </row>
    <row r="13" spans="1:7" x14ac:dyDescent="0.45">
      <c r="A13" t="s">
        <v>201</v>
      </c>
      <c r="B13" s="4">
        <v>0.66666666666666663</v>
      </c>
      <c r="C13" t="s">
        <v>198</v>
      </c>
      <c r="D13">
        <v>15.3</v>
      </c>
      <c r="E13">
        <v>7.98</v>
      </c>
      <c r="F13">
        <v>36</v>
      </c>
      <c r="G13" t="s">
        <v>202</v>
      </c>
    </row>
    <row r="14" spans="1:7" x14ac:dyDescent="0.45">
      <c r="A14" t="s">
        <v>201</v>
      </c>
      <c r="B14" s="4">
        <v>0.66666666666666663</v>
      </c>
      <c r="C14" t="s">
        <v>199</v>
      </c>
      <c r="D14">
        <v>15.2</v>
      </c>
      <c r="E14">
        <v>8</v>
      </c>
      <c r="F14">
        <v>36</v>
      </c>
      <c r="G14" t="s">
        <v>202</v>
      </c>
    </row>
    <row r="15" spans="1:7" x14ac:dyDescent="0.45">
      <c r="A15" t="s">
        <v>201</v>
      </c>
      <c r="B15" s="4">
        <v>0.66666666666666663</v>
      </c>
      <c r="C15" t="s">
        <v>200</v>
      </c>
      <c r="D15">
        <v>15.3</v>
      </c>
      <c r="E15">
        <v>7.98</v>
      </c>
      <c r="F15">
        <v>36</v>
      </c>
      <c r="G15" t="s">
        <v>202</v>
      </c>
    </row>
    <row r="16" spans="1:7" x14ac:dyDescent="0.45">
      <c r="A16" s="4" t="s">
        <v>201</v>
      </c>
      <c r="B16" s="4">
        <v>0.73958333333333337</v>
      </c>
      <c r="C16" t="s">
        <v>193</v>
      </c>
      <c r="D16">
        <v>13.3</v>
      </c>
      <c r="E16">
        <v>8.08</v>
      </c>
      <c r="G16" t="s">
        <v>194</v>
      </c>
    </row>
    <row r="17" spans="1:7" x14ac:dyDescent="0.45">
      <c r="A17" s="4" t="s">
        <v>201</v>
      </c>
      <c r="B17" s="4">
        <v>0.73958333333333337</v>
      </c>
      <c r="C17" t="s">
        <v>195</v>
      </c>
      <c r="D17">
        <v>12.7</v>
      </c>
      <c r="E17">
        <v>8.1</v>
      </c>
      <c r="G17" t="s">
        <v>194</v>
      </c>
    </row>
    <row r="18" spans="1:7" x14ac:dyDescent="0.45">
      <c r="A18" s="4" t="s">
        <v>201</v>
      </c>
      <c r="B18" s="4">
        <v>0.73958333333333337</v>
      </c>
      <c r="C18" t="s">
        <v>196</v>
      </c>
      <c r="D18">
        <v>12.2</v>
      </c>
      <c r="E18">
        <v>8.1199999999999992</v>
      </c>
      <c r="G18" t="s">
        <v>194</v>
      </c>
    </row>
    <row r="19" spans="1:7" x14ac:dyDescent="0.45">
      <c r="A19" s="4" t="s">
        <v>201</v>
      </c>
      <c r="B19" s="4">
        <v>0.73958333333333337</v>
      </c>
      <c r="C19" t="s">
        <v>197</v>
      </c>
      <c r="D19">
        <v>12.1</v>
      </c>
      <c r="E19">
        <v>8.11</v>
      </c>
      <c r="G19" t="s">
        <v>194</v>
      </c>
    </row>
    <row r="20" spans="1:7" x14ac:dyDescent="0.45">
      <c r="A20" s="4" t="s">
        <v>201</v>
      </c>
      <c r="B20" s="4">
        <v>0.73958333333333337</v>
      </c>
      <c r="C20" t="s">
        <v>198</v>
      </c>
      <c r="D20">
        <v>12.1</v>
      </c>
      <c r="E20">
        <v>8.1199999999999992</v>
      </c>
      <c r="G20" t="s">
        <v>194</v>
      </c>
    </row>
    <row r="21" spans="1:7" x14ac:dyDescent="0.45">
      <c r="A21" s="4" t="s">
        <v>201</v>
      </c>
      <c r="B21" s="4">
        <v>0.73958333333333337</v>
      </c>
      <c r="C21" t="s">
        <v>199</v>
      </c>
      <c r="D21">
        <v>12.1</v>
      </c>
      <c r="E21">
        <v>8.1199999999999992</v>
      </c>
      <c r="G21" t="s">
        <v>194</v>
      </c>
    </row>
    <row r="22" spans="1:7" x14ac:dyDescent="0.45">
      <c r="A22" s="4" t="s">
        <v>201</v>
      </c>
      <c r="B22" s="4">
        <v>0.73958333333333337</v>
      </c>
      <c r="C22" t="s">
        <v>200</v>
      </c>
      <c r="D22">
        <v>12.1</v>
      </c>
      <c r="E22">
        <v>8.1199999999999992</v>
      </c>
      <c r="G22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35EA-EF89-4085-8A3E-5FE82A4F2103}">
  <dimension ref="A1:K15"/>
  <sheetViews>
    <sheetView workbookViewId="0">
      <selection activeCell="H1" sqref="H1:K7"/>
    </sheetView>
  </sheetViews>
  <sheetFormatPr defaultRowHeight="14.25" x14ac:dyDescent="0.45"/>
  <cols>
    <col min="1" max="1" width="19.3984375" customWidth="1"/>
    <col min="2" max="2" width="18.73046875" customWidth="1"/>
    <col min="5" max="5" width="20.86328125" bestFit="1" customWidth="1"/>
    <col min="8" max="8" width="17.1328125" bestFit="1" customWidth="1"/>
    <col min="9" max="9" width="10" bestFit="1" customWidth="1"/>
    <col min="12" max="12" width="17.1328125" bestFit="1" customWidth="1"/>
    <col min="13" max="13" width="10" bestFit="1" customWidth="1"/>
  </cols>
  <sheetData>
    <row r="1" spans="1:11" x14ac:dyDescent="0.45">
      <c r="A1" s="3" t="s">
        <v>203</v>
      </c>
      <c r="B1" s="3" t="s">
        <v>204</v>
      </c>
      <c r="E1" s="3" t="s">
        <v>205</v>
      </c>
      <c r="H1" s="30" t="s">
        <v>206</v>
      </c>
      <c r="I1" s="30"/>
      <c r="J1" s="30"/>
      <c r="K1" s="30"/>
    </row>
    <row r="2" spans="1:11" x14ac:dyDescent="0.45">
      <c r="A2" t="s">
        <v>100</v>
      </c>
      <c r="B2" s="2">
        <v>45812</v>
      </c>
      <c r="E2" t="s">
        <v>207</v>
      </c>
      <c r="H2" t="s">
        <v>92</v>
      </c>
      <c r="I2" s="2">
        <v>42159</v>
      </c>
      <c r="J2">
        <v>37</v>
      </c>
      <c r="K2" t="s">
        <v>89</v>
      </c>
    </row>
    <row r="3" spans="1:11" x14ac:dyDescent="0.45">
      <c r="A3" t="s">
        <v>94</v>
      </c>
      <c r="B3" s="2">
        <v>45812</v>
      </c>
      <c r="E3" t="s">
        <v>208</v>
      </c>
      <c r="H3" t="s">
        <v>91</v>
      </c>
      <c r="I3" s="2">
        <v>42159</v>
      </c>
      <c r="J3">
        <v>36</v>
      </c>
      <c r="K3" t="s">
        <v>89</v>
      </c>
    </row>
    <row r="4" spans="1:11" x14ac:dyDescent="0.45">
      <c r="A4" t="s">
        <v>97</v>
      </c>
      <c r="B4" s="2">
        <v>45812</v>
      </c>
      <c r="E4" t="s">
        <v>209</v>
      </c>
      <c r="H4" t="s">
        <v>84</v>
      </c>
      <c r="I4" s="2">
        <v>42159</v>
      </c>
      <c r="J4">
        <v>3</v>
      </c>
      <c r="K4" t="s">
        <v>82</v>
      </c>
    </row>
    <row r="5" spans="1:11" x14ac:dyDescent="0.45">
      <c r="A5" t="s">
        <v>123</v>
      </c>
      <c r="B5" s="2">
        <v>45820</v>
      </c>
      <c r="E5" t="s">
        <v>210</v>
      </c>
      <c r="H5" t="s">
        <v>85</v>
      </c>
      <c r="I5" s="2">
        <v>42159</v>
      </c>
      <c r="J5">
        <v>5</v>
      </c>
      <c r="K5" t="s">
        <v>74</v>
      </c>
    </row>
    <row r="6" spans="1:11" x14ac:dyDescent="0.45">
      <c r="A6" t="s">
        <v>100</v>
      </c>
      <c r="B6" s="2">
        <v>45820</v>
      </c>
      <c r="E6" t="s">
        <v>211</v>
      </c>
      <c r="H6" t="s">
        <v>93</v>
      </c>
      <c r="I6" s="2">
        <v>42159</v>
      </c>
      <c r="J6">
        <v>41</v>
      </c>
      <c r="K6" t="s">
        <v>89</v>
      </c>
    </row>
    <row r="7" spans="1:11" x14ac:dyDescent="0.45">
      <c r="A7" t="s">
        <v>97</v>
      </c>
      <c r="B7" s="2">
        <v>45820</v>
      </c>
      <c r="E7" t="s">
        <v>212</v>
      </c>
    </row>
    <row r="8" spans="1:11" x14ac:dyDescent="0.45">
      <c r="A8" t="s">
        <v>117</v>
      </c>
      <c r="B8" s="2">
        <v>45820</v>
      </c>
      <c r="E8" t="s">
        <v>213</v>
      </c>
    </row>
    <row r="9" spans="1:11" x14ac:dyDescent="0.45">
      <c r="A9" t="s">
        <v>129</v>
      </c>
      <c r="B9" s="2">
        <v>45820</v>
      </c>
      <c r="E9" t="s">
        <v>214</v>
      </c>
    </row>
    <row r="10" spans="1:11" x14ac:dyDescent="0.45">
      <c r="A10" t="s">
        <v>125</v>
      </c>
      <c r="B10" s="2">
        <v>45820</v>
      </c>
      <c r="E10" t="s">
        <v>215</v>
      </c>
    </row>
    <row r="11" spans="1:11" x14ac:dyDescent="0.45">
      <c r="A11" t="s">
        <v>120</v>
      </c>
      <c r="B11" s="2">
        <v>45820</v>
      </c>
      <c r="E11" t="s">
        <v>216</v>
      </c>
    </row>
    <row r="12" spans="1:11" x14ac:dyDescent="0.45">
      <c r="A12" t="s">
        <v>131</v>
      </c>
      <c r="B12" s="2">
        <v>45820</v>
      </c>
      <c r="E12" t="s">
        <v>217</v>
      </c>
    </row>
    <row r="13" spans="1:11" x14ac:dyDescent="0.45">
      <c r="A13" t="s">
        <v>127</v>
      </c>
      <c r="B13" s="2">
        <v>45820</v>
      </c>
      <c r="E13" t="s">
        <v>218</v>
      </c>
    </row>
    <row r="14" spans="1:11" x14ac:dyDescent="0.45">
      <c r="A14" t="s">
        <v>114</v>
      </c>
      <c r="B14" s="2">
        <v>45820</v>
      </c>
      <c r="E14" t="s">
        <v>219</v>
      </c>
    </row>
    <row r="15" spans="1:11" x14ac:dyDescent="0.45">
      <c r="A15" t="s">
        <v>220</v>
      </c>
      <c r="B15" s="2">
        <v>45820</v>
      </c>
      <c r="E15" t="s">
        <v>221</v>
      </c>
    </row>
  </sheetData>
  <mergeCells count="1">
    <mergeCell ref="H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8BA3-FB9F-4BA8-A68B-0CF07E5663CC}">
  <dimension ref="A1:K86"/>
  <sheetViews>
    <sheetView workbookViewId="0">
      <pane ySplit="1" topLeftCell="A79" activePane="bottomLeft" state="frozen"/>
      <selection pane="bottomLeft" activeCell="D79" sqref="D79:D86"/>
    </sheetView>
  </sheetViews>
  <sheetFormatPr defaultRowHeight="14.25" x14ac:dyDescent="0.45"/>
  <cols>
    <col min="1" max="1" width="9.86328125" bestFit="1" customWidth="1"/>
    <col min="2" max="2" width="12" bestFit="1" customWidth="1"/>
    <col min="3" max="3" width="13.86328125" bestFit="1" customWidth="1"/>
    <col min="5" max="5" width="10" bestFit="1" customWidth="1"/>
    <col min="7" max="7" width="13.86328125" bestFit="1" customWidth="1"/>
    <col min="8" max="8" width="13.265625" bestFit="1" customWidth="1"/>
    <col min="9" max="9" width="13.3984375" bestFit="1" customWidth="1"/>
    <col min="10" max="10" width="14" bestFit="1" customWidth="1"/>
  </cols>
  <sheetData>
    <row r="1" spans="1:11" x14ac:dyDescent="0.45">
      <c r="A1" t="s">
        <v>61</v>
      </c>
      <c r="B1" t="s">
        <v>59</v>
      </c>
      <c r="C1" t="s">
        <v>222</v>
      </c>
      <c r="D1" t="s">
        <v>64</v>
      </c>
      <c r="E1" t="s">
        <v>67</v>
      </c>
      <c r="F1" t="s">
        <v>68</v>
      </c>
      <c r="G1" t="s">
        <v>223</v>
      </c>
      <c r="H1" t="s">
        <v>224</v>
      </c>
      <c r="I1" t="s">
        <v>225</v>
      </c>
      <c r="J1" t="s">
        <v>226</v>
      </c>
      <c r="K1" t="s">
        <v>64</v>
      </c>
    </row>
    <row r="2" spans="1:11" x14ac:dyDescent="0.45">
      <c r="A2">
        <v>15</v>
      </c>
      <c r="B2" t="s">
        <v>50</v>
      </c>
      <c r="D2" t="s">
        <v>227</v>
      </c>
      <c r="F2" t="s">
        <v>79</v>
      </c>
      <c r="G2">
        <v>1</v>
      </c>
    </row>
    <row r="3" spans="1:11" x14ac:dyDescent="0.45">
      <c r="A3">
        <v>15</v>
      </c>
      <c r="B3" t="s">
        <v>50</v>
      </c>
      <c r="F3" t="s">
        <v>79</v>
      </c>
      <c r="G3">
        <v>0.8</v>
      </c>
    </row>
    <row r="4" spans="1:11" x14ac:dyDescent="0.45">
      <c r="A4">
        <v>15</v>
      </c>
      <c r="B4" t="s">
        <v>50</v>
      </c>
      <c r="F4" t="s">
        <v>79</v>
      </c>
      <c r="G4">
        <v>0.3</v>
      </c>
    </row>
    <row r="5" spans="1:11" x14ac:dyDescent="0.45">
      <c r="A5">
        <v>9</v>
      </c>
      <c r="B5" t="s">
        <v>50</v>
      </c>
      <c r="F5" t="s">
        <v>79</v>
      </c>
      <c r="G5">
        <v>0.3</v>
      </c>
    </row>
    <row r="6" spans="1:11" x14ac:dyDescent="0.45">
      <c r="A6">
        <v>21</v>
      </c>
      <c r="B6" t="s">
        <v>50</v>
      </c>
      <c r="D6" t="s">
        <v>228</v>
      </c>
      <c r="F6" t="s">
        <v>79</v>
      </c>
      <c r="G6">
        <v>1.6</v>
      </c>
    </row>
    <row r="7" spans="1:11" x14ac:dyDescent="0.45">
      <c r="A7">
        <v>21</v>
      </c>
      <c r="B7" t="s">
        <v>50</v>
      </c>
      <c r="D7" t="s">
        <v>228</v>
      </c>
      <c r="F7" t="s">
        <v>79</v>
      </c>
      <c r="G7">
        <v>1.4</v>
      </c>
    </row>
    <row r="8" spans="1:11" x14ac:dyDescent="0.45">
      <c r="A8">
        <v>4</v>
      </c>
      <c r="B8" t="s">
        <v>50</v>
      </c>
      <c r="C8">
        <v>26</v>
      </c>
      <c r="F8" t="s">
        <v>79</v>
      </c>
      <c r="G8">
        <v>1.6</v>
      </c>
    </row>
    <row r="9" spans="1:11" x14ac:dyDescent="0.45">
      <c r="A9">
        <v>18</v>
      </c>
      <c r="B9" t="s">
        <v>50</v>
      </c>
      <c r="C9">
        <v>52</v>
      </c>
      <c r="D9" t="s">
        <v>37</v>
      </c>
    </row>
    <row r="10" spans="1:11" x14ac:dyDescent="0.45">
      <c r="A10">
        <v>5</v>
      </c>
      <c r="B10" t="s">
        <v>50</v>
      </c>
      <c r="C10">
        <v>65</v>
      </c>
      <c r="E10">
        <v>1</v>
      </c>
      <c r="F10" t="s">
        <v>79</v>
      </c>
      <c r="G10">
        <v>1</v>
      </c>
    </row>
    <row r="11" spans="1:11" x14ac:dyDescent="0.45">
      <c r="A11">
        <v>5</v>
      </c>
      <c r="B11" t="s">
        <v>50</v>
      </c>
      <c r="E11">
        <v>2</v>
      </c>
      <c r="F11" t="s">
        <v>79</v>
      </c>
      <c r="G11">
        <v>0.6</v>
      </c>
    </row>
    <row r="12" spans="1:11" x14ac:dyDescent="0.45">
      <c r="A12">
        <v>5</v>
      </c>
      <c r="B12" t="s">
        <v>50</v>
      </c>
      <c r="E12">
        <v>3</v>
      </c>
      <c r="F12" t="s">
        <v>79</v>
      </c>
      <c r="G12">
        <v>0.9</v>
      </c>
    </row>
    <row r="13" spans="1:11" x14ac:dyDescent="0.45">
      <c r="A13">
        <v>5</v>
      </c>
      <c r="B13" t="s">
        <v>50</v>
      </c>
      <c r="E13">
        <v>4</v>
      </c>
    </row>
    <row r="14" spans="1:11" x14ac:dyDescent="0.45">
      <c r="A14">
        <v>11</v>
      </c>
      <c r="B14" t="s">
        <v>50</v>
      </c>
      <c r="C14">
        <v>66</v>
      </c>
      <c r="E14">
        <v>1</v>
      </c>
      <c r="F14" t="s">
        <v>77</v>
      </c>
      <c r="G14">
        <v>0.9</v>
      </c>
      <c r="H14">
        <v>0.4</v>
      </c>
    </row>
    <row r="15" spans="1:11" x14ac:dyDescent="0.45">
      <c r="A15">
        <v>11</v>
      </c>
      <c r="B15" t="s">
        <v>50</v>
      </c>
      <c r="C15">
        <v>66</v>
      </c>
      <c r="E15">
        <v>1</v>
      </c>
      <c r="F15" t="s">
        <v>79</v>
      </c>
      <c r="G15">
        <v>0.2</v>
      </c>
    </row>
    <row r="16" spans="1:11" x14ac:dyDescent="0.45">
      <c r="A16">
        <v>11</v>
      </c>
      <c r="B16" t="s">
        <v>50</v>
      </c>
      <c r="C16">
        <v>66</v>
      </c>
      <c r="E16">
        <v>1</v>
      </c>
      <c r="F16" t="s">
        <v>79</v>
      </c>
      <c r="G16">
        <v>0.1</v>
      </c>
    </row>
    <row r="17" spans="1:9" x14ac:dyDescent="0.45">
      <c r="A17">
        <v>11</v>
      </c>
      <c r="B17" t="s">
        <v>50</v>
      </c>
      <c r="C17">
        <v>66</v>
      </c>
      <c r="E17">
        <v>1</v>
      </c>
      <c r="F17" t="s">
        <v>79</v>
      </c>
      <c r="G17">
        <v>0.1</v>
      </c>
    </row>
    <row r="18" spans="1:9" x14ac:dyDescent="0.45">
      <c r="A18">
        <v>11</v>
      </c>
      <c r="B18" t="s">
        <v>50</v>
      </c>
      <c r="C18">
        <v>66</v>
      </c>
      <c r="E18">
        <v>1</v>
      </c>
      <c r="F18" t="s">
        <v>79</v>
      </c>
      <c r="G18">
        <v>0.1</v>
      </c>
    </row>
    <row r="19" spans="1:9" x14ac:dyDescent="0.45">
      <c r="A19">
        <v>11</v>
      </c>
      <c r="B19" t="s">
        <v>50</v>
      </c>
      <c r="C19">
        <v>66</v>
      </c>
      <c r="E19">
        <v>1</v>
      </c>
      <c r="F19" t="s">
        <v>77</v>
      </c>
      <c r="G19">
        <v>0.8</v>
      </c>
      <c r="H19">
        <v>0.4</v>
      </c>
    </row>
    <row r="20" spans="1:9" x14ac:dyDescent="0.45">
      <c r="A20">
        <v>11</v>
      </c>
      <c r="B20" t="s">
        <v>50</v>
      </c>
      <c r="C20">
        <v>66</v>
      </c>
      <c r="E20">
        <v>1</v>
      </c>
      <c r="F20" t="s">
        <v>79</v>
      </c>
      <c r="G20">
        <v>0.2</v>
      </c>
    </row>
    <row r="21" spans="1:9" x14ac:dyDescent="0.45">
      <c r="A21">
        <v>11</v>
      </c>
      <c r="B21" t="s">
        <v>50</v>
      </c>
      <c r="C21">
        <v>66</v>
      </c>
      <c r="E21">
        <v>1</v>
      </c>
      <c r="F21" t="s">
        <v>79</v>
      </c>
      <c r="G21">
        <v>0.3</v>
      </c>
    </row>
    <row r="22" spans="1:9" x14ac:dyDescent="0.45">
      <c r="A22">
        <v>11</v>
      </c>
      <c r="B22" t="s">
        <v>50</v>
      </c>
      <c r="C22">
        <v>66</v>
      </c>
      <c r="E22">
        <v>1</v>
      </c>
      <c r="F22" t="s">
        <v>79</v>
      </c>
      <c r="G22">
        <v>0.2</v>
      </c>
    </row>
    <row r="23" spans="1:9" x14ac:dyDescent="0.45">
      <c r="A23">
        <v>11</v>
      </c>
      <c r="B23" t="s">
        <v>50</v>
      </c>
      <c r="C23">
        <v>66</v>
      </c>
      <c r="E23">
        <v>2</v>
      </c>
      <c r="F23" t="s">
        <v>79</v>
      </c>
      <c r="G23">
        <v>1.3</v>
      </c>
    </row>
    <row r="24" spans="1:9" x14ac:dyDescent="0.45">
      <c r="A24">
        <v>11</v>
      </c>
      <c r="B24" t="s">
        <v>50</v>
      </c>
      <c r="C24">
        <v>66</v>
      </c>
      <c r="E24">
        <v>2</v>
      </c>
      <c r="F24" t="s">
        <v>79</v>
      </c>
      <c r="G24">
        <v>0.1</v>
      </c>
    </row>
    <row r="25" spans="1:9" x14ac:dyDescent="0.45">
      <c r="A25">
        <v>11</v>
      </c>
      <c r="B25" t="s">
        <v>50</v>
      </c>
      <c r="C25">
        <v>66</v>
      </c>
      <c r="E25">
        <v>2</v>
      </c>
      <c r="F25" t="s">
        <v>79</v>
      </c>
      <c r="G25">
        <v>0.1</v>
      </c>
    </row>
    <row r="26" spans="1:9" x14ac:dyDescent="0.45">
      <c r="A26">
        <v>11</v>
      </c>
      <c r="B26" t="s">
        <v>50</v>
      </c>
      <c r="C26">
        <v>66</v>
      </c>
      <c r="E26">
        <v>2</v>
      </c>
      <c r="F26" t="s">
        <v>77</v>
      </c>
      <c r="G26">
        <v>1</v>
      </c>
      <c r="H26">
        <v>0.4</v>
      </c>
    </row>
    <row r="27" spans="1:9" x14ac:dyDescent="0.45">
      <c r="A27">
        <v>11</v>
      </c>
      <c r="B27" t="s">
        <v>50</v>
      </c>
      <c r="C27">
        <v>66</v>
      </c>
      <c r="E27">
        <v>3</v>
      </c>
      <c r="F27" t="s">
        <v>77</v>
      </c>
      <c r="G27">
        <v>2</v>
      </c>
      <c r="I27">
        <v>9</v>
      </c>
    </row>
    <row r="28" spans="1:9" x14ac:dyDescent="0.45">
      <c r="A28">
        <v>11</v>
      </c>
      <c r="B28" t="s">
        <v>50</v>
      </c>
      <c r="C28">
        <v>66</v>
      </c>
      <c r="E28">
        <v>2</v>
      </c>
      <c r="F28" t="s">
        <v>77</v>
      </c>
      <c r="G28">
        <v>0.9</v>
      </c>
      <c r="H28">
        <v>0.4</v>
      </c>
    </row>
    <row r="29" spans="1:9" x14ac:dyDescent="0.45">
      <c r="A29">
        <v>11</v>
      </c>
      <c r="B29" t="s">
        <v>50</v>
      </c>
      <c r="C29">
        <v>66</v>
      </c>
      <c r="E29">
        <v>2</v>
      </c>
      <c r="F29" t="s">
        <v>77</v>
      </c>
      <c r="G29">
        <v>0.4</v>
      </c>
      <c r="H29">
        <v>0.2</v>
      </c>
    </row>
    <row r="30" spans="1:9" x14ac:dyDescent="0.45">
      <c r="A30">
        <v>11</v>
      </c>
      <c r="B30" t="s">
        <v>50</v>
      </c>
      <c r="C30">
        <v>66</v>
      </c>
      <c r="D30" t="s">
        <v>37</v>
      </c>
      <c r="E30">
        <v>4</v>
      </c>
    </row>
    <row r="31" spans="1:9" x14ac:dyDescent="0.45">
      <c r="A31">
        <v>22</v>
      </c>
      <c r="B31" t="s">
        <v>50</v>
      </c>
      <c r="C31">
        <v>50</v>
      </c>
      <c r="D31" t="s">
        <v>37</v>
      </c>
      <c r="E31">
        <v>1</v>
      </c>
    </row>
    <row r="32" spans="1:9" x14ac:dyDescent="0.45">
      <c r="A32">
        <v>22</v>
      </c>
      <c r="B32" t="s">
        <v>50</v>
      </c>
      <c r="C32">
        <v>50</v>
      </c>
      <c r="D32" t="s">
        <v>229</v>
      </c>
      <c r="E32">
        <v>2</v>
      </c>
      <c r="F32" t="s">
        <v>79</v>
      </c>
      <c r="G32">
        <v>0.2</v>
      </c>
    </row>
    <row r="33" spans="1:10" x14ac:dyDescent="0.45">
      <c r="A33">
        <v>22</v>
      </c>
      <c r="B33" t="s">
        <v>50</v>
      </c>
      <c r="C33">
        <v>50</v>
      </c>
      <c r="D33" t="s">
        <v>229</v>
      </c>
      <c r="E33">
        <v>2</v>
      </c>
      <c r="F33" t="s">
        <v>79</v>
      </c>
      <c r="G33">
        <v>0.2</v>
      </c>
    </row>
    <row r="34" spans="1:10" x14ac:dyDescent="0.45">
      <c r="A34">
        <v>22</v>
      </c>
      <c r="B34" t="s">
        <v>50</v>
      </c>
      <c r="C34">
        <v>50</v>
      </c>
      <c r="D34" t="s">
        <v>229</v>
      </c>
      <c r="E34">
        <v>3</v>
      </c>
      <c r="F34" t="s">
        <v>79</v>
      </c>
      <c r="G34">
        <v>0.5</v>
      </c>
    </row>
    <row r="35" spans="1:10" x14ac:dyDescent="0.45">
      <c r="A35">
        <v>22</v>
      </c>
      <c r="B35" t="s">
        <v>50</v>
      </c>
      <c r="C35">
        <v>50</v>
      </c>
      <c r="D35" t="s">
        <v>229</v>
      </c>
      <c r="E35">
        <v>3</v>
      </c>
      <c r="F35" t="s">
        <v>79</v>
      </c>
      <c r="G35">
        <v>0.5</v>
      </c>
    </row>
    <row r="36" spans="1:10" x14ac:dyDescent="0.45">
      <c r="A36">
        <v>22</v>
      </c>
      <c r="B36" t="s">
        <v>50</v>
      </c>
      <c r="C36">
        <v>50</v>
      </c>
      <c r="D36" t="s">
        <v>229</v>
      </c>
      <c r="E36">
        <v>4</v>
      </c>
      <c r="F36" t="s">
        <v>79</v>
      </c>
      <c r="G36">
        <v>0.3</v>
      </c>
    </row>
    <row r="37" spans="1:10" x14ac:dyDescent="0.45">
      <c r="A37">
        <v>22</v>
      </c>
      <c r="B37" t="s">
        <v>50</v>
      </c>
      <c r="C37">
        <v>50</v>
      </c>
      <c r="D37" t="s">
        <v>229</v>
      </c>
      <c r="E37">
        <v>6</v>
      </c>
      <c r="F37" t="s">
        <v>79</v>
      </c>
      <c r="G37">
        <v>0.3</v>
      </c>
    </row>
    <row r="38" spans="1:10" x14ac:dyDescent="0.45">
      <c r="A38">
        <v>22</v>
      </c>
      <c r="B38" t="s">
        <v>50</v>
      </c>
      <c r="C38">
        <v>50</v>
      </c>
      <c r="D38" t="s">
        <v>229</v>
      </c>
      <c r="E38">
        <v>6</v>
      </c>
      <c r="F38" t="s">
        <v>79</v>
      </c>
      <c r="G38">
        <v>0.3</v>
      </c>
    </row>
    <row r="39" spans="1:10" x14ac:dyDescent="0.45">
      <c r="A39">
        <v>22</v>
      </c>
      <c r="B39" t="s">
        <v>50</v>
      </c>
      <c r="C39">
        <v>50</v>
      </c>
      <c r="D39" t="s">
        <v>229</v>
      </c>
      <c r="E39">
        <v>7</v>
      </c>
      <c r="J39">
        <v>2</v>
      </c>
    </row>
    <row r="40" spans="1:10" x14ac:dyDescent="0.45">
      <c r="A40">
        <v>22</v>
      </c>
      <c r="B40" t="s">
        <v>50</v>
      </c>
      <c r="C40">
        <v>50</v>
      </c>
      <c r="D40" t="s">
        <v>229</v>
      </c>
      <c r="E40">
        <v>8</v>
      </c>
      <c r="F40" t="s">
        <v>79</v>
      </c>
      <c r="G40">
        <v>1</v>
      </c>
    </row>
    <row r="41" spans="1:10" x14ac:dyDescent="0.45">
      <c r="A41">
        <v>22</v>
      </c>
      <c r="B41" t="s">
        <v>50</v>
      </c>
      <c r="C41">
        <v>50</v>
      </c>
      <c r="D41" t="s">
        <v>229</v>
      </c>
      <c r="E41">
        <v>8</v>
      </c>
      <c r="F41" t="s">
        <v>79</v>
      </c>
      <c r="G41">
        <v>1.2</v>
      </c>
    </row>
    <row r="42" spans="1:10" x14ac:dyDescent="0.45">
      <c r="A42">
        <v>22</v>
      </c>
      <c r="B42" t="s">
        <v>50</v>
      </c>
      <c r="C42">
        <v>50</v>
      </c>
      <c r="D42" t="s">
        <v>229</v>
      </c>
      <c r="E42">
        <v>8</v>
      </c>
      <c r="F42" t="s">
        <v>79</v>
      </c>
      <c r="G42">
        <v>1</v>
      </c>
    </row>
    <row r="43" spans="1:10" x14ac:dyDescent="0.45">
      <c r="A43">
        <v>14</v>
      </c>
      <c r="B43" t="s">
        <v>50</v>
      </c>
      <c r="C43">
        <v>30</v>
      </c>
      <c r="E43">
        <v>1</v>
      </c>
      <c r="F43" t="s">
        <v>79</v>
      </c>
      <c r="G43">
        <v>0.6</v>
      </c>
      <c r="I43">
        <v>1</v>
      </c>
      <c r="J43">
        <v>2</v>
      </c>
    </row>
    <row r="44" spans="1:10" x14ac:dyDescent="0.45">
      <c r="A44">
        <v>20</v>
      </c>
      <c r="B44" t="s">
        <v>50</v>
      </c>
      <c r="C44">
        <v>37</v>
      </c>
      <c r="E44">
        <v>1</v>
      </c>
      <c r="F44" t="s">
        <v>77</v>
      </c>
      <c r="G44">
        <v>0.4</v>
      </c>
      <c r="H44">
        <v>0.1</v>
      </c>
      <c r="I44">
        <v>1</v>
      </c>
      <c r="J44">
        <v>2</v>
      </c>
    </row>
    <row r="45" spans="1:10" x14ac:dyDescent="0.45">
      <c r="A45">
        <v>16</v>
      </c>
      <c r="B45" t="s">
        <v>50</v>
      </c>
      <c r="C45">
        <v>50</v>
      </c>
      <c r="E45">
        <v>1</v>
      </c>
      <c r="F45" t="s">
        <v>79</v>
      </c>
      <c r="G45">
        <v>1.2</v>
      </c>
      <c r="I45">
        <v>1</v>
      </c>
      <c r="J45">
        <v>2</v>
      </c>
    </row>
    <row r="46" spans="1:10" x14ac:dyDescent="0.45">
      <c r="A46">
        <v>16</v>
      </c>
      <c r="B46" t="s">
        <v>50</v>
      </c>
      <c r="C46">
        <v>50</v>
      </c>
      <c r="E46">
        <v>1</v>
      </c>
      <c r="F46" t="s">
        <v>79</v>
      </c>
      <c r="G46">
        <v>0.8</v>
      </c>
      <c r="I46">
        <v>1</v>
      </c>
      <c r="J46">
        <v>2</v>
      </c>
    </row>
    <row r="47" spans="1:10" x14ac:dyDescent="0.45">
      <c r="A47">
        <v>16</v>
      </c>
      <c r="B47" t="s">
        <v>50</v>
      </c>
      <c r="C47">
        <v>50</v>
      </c>
      <c r="E47">
        <v>1</v>
      </c>
      <c r="F47" t="s">
        <v>77</v>
      </c>
      <c r="G47">
        <v>0.7</v>
      </c>
      <c r="I47">
        <v>0.4</v>
      </c>
    </row>
    <row r="48" spans="1:10" x14ac:dyDescent="0.45">
      <c r="A48">
        <v>16</v>
      </c>
      <c r="B48" t="s">
        <v>50</v>
      </c>
      <c r="C48">
        <v>50</v>
      </c>
      <c r="D48" t="s">
        <v>37</v>
      </c>
      <c r="E48">
        <v>2</v>
      </c>
    </row>
    <row r="49" spans="1:10" x14ac:dyDescent="0.45">
      <c r="A49">
        <v>8</v>
      </c>
      <c r="B49" t="s">
        <v>50</v>
      </c>
      <c r="C49">
        <v>40</v>
      </c>
      <c r="E49">
        <v>1</v>
      </c>
      <c r="F49" t="s">
        <v>79</v>
      </c>
      <c r="G49">
        <v>0.2</v>
      </c>
      <c r="J49">
        <v>1</v>
      </c>
    </row>
    <row r="50" spans="1:10" x14ac:dyDescent="0.45">
      <c r="A50">
        <v>8</v>
      </c>
      <c r="B50" t="s">
        <v>50</v>
      </c>
      <c r="C50">
        <v>40</v>
      </c>
      <c r="E50">
        <v>1</v>
      </c>
      <c r="F50" t="s">
        <v>77</v>
      </c>
      <c r="G50">
        <v>0.2</v>
      </c>
      <c r="H50">
        <v>0</v>
      </c>
      <c r="J50">
        <v>1</v>
      </c>
    </row>
    <row r="51" spans="1:10" x14ac:dyDescent="0.45">
      <c r="A51">
        <v>8</v>
      </c>
      <c r="B51" t="s">
        <v>50</v>
      </c>
      <c r="C51">
        <v>40</v>
      </c>
      <c r="E51">
        <v>1</v>
      </c>
      <c r="F51" t="s">
        <v>79</v>
      </c>
      <c r="G51">
        <v>1</v>
      </c>
      <c r="J51">
        <v>1</v>
      </c>
    </row>
    <row r="52" spans="1:10" x14ac:dyDescent="0.45">
      <c r="A52">
        <v>8</v>
      </c>
      <c r="B52" t="s">
        <v>50</v>
      </c>
      <c r="C52">
        <v>40</v>
      </c>
      <c r="E52">
        <v>1</v>
      </c>
      <c r="F52" t="s">
        <v>79</v>
      </c>
      <c r="G52">
        <v>0.2</v>
      </c>
      <c r="I52">
        <v>5</v>
      </c>
      <c r="J52">
        <v>1</v>
      </c>
    </row>
    <row r="53" spans="1:10" x14ac:dyDescent="0.45">
      <c r="A53">
        <v>8</v>
      </c>
      <c r="B53" t="s">
        <v>50</v>
      </c>
      <c r="C53">
        <v>40</v>
      </c>
      <c r="E53">
        <v>1</v>
      </c>
      <c r="F53" t="s">
        <v>79</v>
      </c>
      <c r="G53">
        <v>0.1</v>
      </c>
    </row>
    <row r="54" spans="1:10" x14ac:dyDescent="0.45">
      <c r="A54">
        <v>8</v>
      </c>
      <c r="B54" t="s">
        <v>50</v>
      </c>
      <c r="C54">
        <v>40</v>
      </c>
      <c r="E54">
        <v>2</v>
      </c>
      <c r="F54" t="s">
        <v>79</v>
      </c>
      <c r="G54">
        <v>1.8</v>
      </c>
      <c r="J54">
        <v>1</v>
      </c>
    </row>
    <row r="55" spans="1:10" x14ac:dyDescent="0.45">
      <c r="A55">
        <v>8</v>
      </c>
      <c r="B55" t="s">
        <v>50</v>
      </c>
      <c r="C55">
        <v>40</v>
      </c>
      <c r="E55">
        <v>2</v>
      </c>
      <c r="F55" t="s">
        <v>77</v>
      </c>
      <c r="G55">
        <v>0.6</v>
      </c>
      <c r="H55">
        <v>0.4</v>
      </c>
      <c r="J55">
        <v>1</v>
      </c>
    </row>
    <row r="56" spans="1:10" x14ac:dyDescent="0.45">
      <c r="A56">
        <v>12</v>
      </c>
      <c r="B56" t="s">
        <v>50</v>
      </c>
      <c r="C56">
        <v>50</v>
      </c>
      <c r="E56">
        <v>1</v>
      </c>
      <c r="F56" t="s">
        <v>79</v>
      </c>
      <c r="G56">
        <v>0.2</v>
      </c>
    </row>
    <row r="57" spans="1:10" x14ac:dyDescent="0.45">
      <c r="A57">
        <v>12</v>
      </c>
      <c r="B57" t="s">
        <v>50</v>
      </c>
      <c r="C57">
        <v>50</v>
      </c>
      <c r="E57">
        <v>1</v>
      </c>
      <c r="F57" t="s">
        <v>79</v>
      </c>
      <c r="G57">
        <v>0.2</v>
      </c>
    </row>
    <row r="58" spans="1:10" x14ac:dyDescent="0.45">
      <c r="A58">
        <v>12</v>
      </c>
      <c r="B58" t="s">
        <v>50</v>
      </c>
      <c r="C58">
        <v>50</v>
      </c>
      <c r="E58">
        <v>2</v>
      </c>
      <c r="F58" t="s">
        <v>79</v>
      </c>
      <c r="G58">
        <v>0.1</v>
      </c>
    </row>
    <row r="59" spans="1:10" x14ac:dyDescent="0.45">
      <c r="A59">
        <v>12</v>
      </c>
      <c r="B59" t="s">
        <v>50</v>
      </c>
      <c r="C59">
        <v>50</v>
      </c>
      <c r="E59">
        <v>2</v>
      </c>
      <c r="F59" t="s">
        <v>79</v>
      </c>
      <c r="G59">
        <v>0.1</v>
      </c>
    </row>
    <row r="60" spans="1:10" x14ac:dyDescent="0.45">
      <c r="A60">
        <v>12</v>
      </c>
      <c r="B60" t="s">
        <v>50</v>
      </c>
      <c r="C60">
        <v>50</v>
      </c>
      <c r="E60">
        <v>2</v>
      </c>
      <c r="F60" t="s">
        <v>79</v>
      </c>
      <c r="G60">
        <v>0.8</v>
      </c>
    </row>
    <row r="61" spans="1:10" x14ac:dyDescent="0.45">
      <c r="A61">
        <v>6</v>
      </c>
      <c r="B61" t="s">
        <v>50</v>
      </c>
      <c r="C61">
        <v>48</v>
      </c>
      <c r="E61">
        <v>1</v>
      </c>
      <c r="F61" t="s">
        <v>79</v>
      </c>
      <c r="G61">
        <v>0.2</v>
      </c>
      <c r="J61">
        <v>4</v>
      </c>
    </row>
    <row r="62" spans="1:10" x14ac:dyDescent="0.45">
      <c r="A62">
        <v>6</v>
      </c>
      <c r="B62" t="s">
        <v>50</v>
      </c>
      <c r="C62">
        <v>48</v>
      </c>
      <c r="E62">
        <v>1</v>
      </c>
      <c r="F62" t="s">
        <v>79</v>
      </c>
      <c r="G62">
        <v>1.5</v>
      </c>
      <c r="J62">
        <v>4</v>
      </c>
    </row>
    <row r="63" spans="1:10" x14ac:dyDescent="0.45">
      <c r="A63">
        <v>6</v>
      </c>
      <c r="B63" t="s">
        <v>50</v>
      </c>
      <c r="C63">
        <v>48</v>
      </c>
      <c r="E63">
        <v>2</v>
      </c>
      <c r="F63" t="s">
        <v>79</v>
      </c>
      <c r="G63">
        <v>0.2</v>
      </c>
      <c r="I63">
        <v>1</v>
      </c>
    </row>
    <row r="64" spans="1:10" x14ac:dyDescent="0.45">
      <c r="A64">
        <v>6</v>
      </c>
      <c r="B64" t="s">
        <v>50</v>
      </c>
      <c r="C64">
        <v>48</v>
      </c>
      <c r="E64">
        <v>2</v>
      </c>
      <c r="F64" t="s">
        <v>79</v>
      </c>
      <c r="G64">
        <v>0.3</v>
      </c>
      <c r="I64">
        <v>1</v>
      </c>
    </row>
    <row r="65" spans="1:10" x14ac:dyDescent="0.45">
      <c r="A65">
        <v>6</v>
      </c>
      <c r="B65" t="s">
        <v>50</v>
      </c>
      <c r="C65">
        <v>48</v>
      </c>
      <c r="E65">
        <v>3</v>
      </c>
      <c r="F65" t="s">
        <v>79</v>
      </c>
      <c r="G65">
        <v>1.2</v>
      </c>
    </row>
    <row r="66" spans="1:10" x14ac:dyDescent="0.45">
      <c r="A66">
        <v>6</v>
      </c>
      <c r="B66" t="s">
        <v>50</v>
      </c>
      <c r="C66">
        <v>48</v>
      </c>
      <c r="E66">
        <v>3</v>
      </c>
      <c r="F66" t="s">
        <v>79</v>
      </c>
      <c r="G66">
        <v>1.4</v>
      </c>
    </row>
    <row r="67" spans="1:10" x14ac:dyDescent="0.45">
      <c r="A67">
        <v>6</v>
      </c>
      <c r="B67" t="s">
        <v>50</v>
      </c>
      <c r="C67">
        <v>48</v>
      </c>
      <c r="D67" t="s">
        <v>230</v>
      </c>
      <c r="E67">
        <v>4</v>
      </c>
      <c r="F67" t="s">
        <v>79</v>
      </c>
      <c r="G67">
        <v>0.5</v>
      </c>
    </row>
    <row r="68" spans="1:10" x14ac:dyDescent="0.45">
      <c r="A68">
        <v>6</v>
      </c>
      <c r="B68" t="s">
        <v>50</v>
      </c>
      <c r="C68">
        <v>48</v>
      </c>
      <c r="E68">
        <v>5</v>
      </c>
      <c r="F68" t="s">
        <v>79</v>
      </c>
      <c r="G68">
        <v>0.2</v>
      </c>
    </row>
    <row r="69" spans="1:10" x14ac:dyDescent="0.45">
      <c r="A69">
        <v>6</v>
      </c>
      <c r="B69" t="s">
        <v>50</v>
      </c>
      <c r="C69">
        <v>48</v>
      </c>
      <c r="E69">
        <v>5</v>
      </c>
      <c r="F69" t="s">
        <v>79</v>
      </c>
      <c r="G69">
        <v>0.2</v>
      </c>
    </row>
    <row r="70" spans="1:10" x14ac:dyDescent="0.45">
      <c r="A70">
        <v>1</v>
      </c>
      <c r="B70" t="s">
        <v>50</v>
      </c>
      <c r="C70">
        <v>18</v>
      </c>
      <c r="E70">
        <v>1</v>
      </c>
      <c r="F70" t="s">
        <v>79</v>
      </c>
      <c r="G70">
        <v>1.4</v>
      </c>
    </row>
    <row r="71" spans="1:10" x14ac:dyDescent="0.45">
      <c r="A71">
        <v>1</v>
      </c>
      <c r="B71" t="s">
        <v>50</v>
      </c>
      <c r="C71">
        <v>18</v>
      </c>
      <c r="E71">
        <v>1</v>
      </c>
      <c r="F71" t="s">
        <v>79</v>
      </c>
      <c r="G71">
        <v>1.8</v>
      </c>
    </row>
    <row r="72" spans="1:10" x14ac:dyDescent="0.45">
      <c r="A72">
        <v>1</v>
      </c>
      <c r="B72" t="s">
        <v>50</v>
      </c>
      <c r="C72">
        <v>18</v>
      </c>
      <c r="E72">
        <v>1</v>
      </c>
      <c r="F72" t="s">
        <v>79</v>
      </c>
      <c r="G72">
        <v>1</v>
      </c>
    </row>
    <row r="73" spans="1:10" x14ac:dyDescent="0.45">
      <c r="A73">
        <v>1</v>
      </c>
      <c r="B73" t="s">
        <v>50</v>
      </c>
      <c r="C73">
        <v>18</v>
      </c>
      <c r="E73">
        <v>2</v>
      </c>
      <c r="I73">
        <v>4</v>
      </c>
    </row>
    <row r="74" spans="1:10" x14ac:dyDescent="0.45">
      <c r="A74">
        <v>10</v>
      </c>
      <c r="B74" t="s">
        <v>50</v>
      </c>
      <c r="C74">
        <v>17</v>
      </c>
      <c r="D74" t="s">
        <v>37</v>
      </c>
      <c r="E74">
        <v>1</v>
      </c>
    </row>
    <row r="75" spans="1:10" x14ac:dyDescent="0.45">
      <c r="A75">
        <v>13</v>
      </c>
      <c r="B75" t="s">
        <v>50</v>
      </c>
      <c r="C75">
        <v>53</v>
      </c>
      <c r="E75">
        <v>1</v>
      </c>
      <c r="I75">
        <v>1</v>
      </c>
    </row>
    <row r="76" spans="1:10" x14ac:dyDescent="0.45">
      <c r="A76">
        <v>13</v>
      </c>
      <c r="B76" t="s">
        <v>50</v>
      </c>
      <c r="E76">
        <v>2</v>
      </c>
      <c r="F76" t="s">
        <v>79</v>
      </c>
      <c r="G76">
        <v>0.1</v>
      </c>
      <c r="J76">
        <v>4</v>
      </c>
    </row>
    <row r="77" spans="1:10" x14ac:dyDescent="0.45">
      <c r="A77">
        <v>13</v>
      </c>
      <c r="B77" t="s">
        <v>50</v>
      </c>
      <c r="E77">
        <v>2</v>
      </c>
      <c r="F77" t="s">
        <v>79</v>
      </c>
      <c r="G77">
        <v>0.1</v>
      </c>
      <c r="J77">
        <v>4</v>
      </c>
    </row>
    <row r="78" spans="1:10" x14ac:dyDescent="0.45">
      <c r="A78">
        <v>13</v>
      </c>
      <c r="B78" t="s">
        <v>50</v>
      </c>
      <c r="D78" t="s">
        <v>37</v>
      </c>
      <c r="E78">
        <v>3</v>
      </c>
    </row>
    <row r="79" spans="1:10" x14ac:dyDescent="0.45">
      <c r="A79">
        <v>23</v>
      </c>
      <c r="B79" t="s">
        <v>50</v>
      </c>
      <c r="D79" t="s">
        <v>104</v>
      </c>
    </row>
    <row r="80" spans="1:10" x14ac:dyDescent="0.45">
      <c r="A80">
        <v>19</v>
      </c>
      <c r="B80" t="s">
        <v>50</v>
      </c>
      <c r="D80" t="s">
        <v>104</v>
      </c>
    </row>
    <row r="81" spans="1:4" x14ac:dyDescent="0.45">
      <c r="A81">
        <v>2</v>
      </c>
      <c r="B81" t="s">
        <v>50</v>
      </c>
      <c r="D81" t="s">
        <v>104</v>
      </c>
    </row>
    <row r="82" spans="1:4" x14ac:dyDescent="0.45">
      <c r="A82">
        <v>25</v>
      </c>
      <c r="B82" t="s">
        <v>50</v>
      </c>
      <c r="D82" t="s">
        <v>104</v>
      </c>
    </row>
    <row r="83" spans="1:4" x14ac:dyDescent="0.45">
      <c r="A83">
        <v>17</v>
      </c>
      <c r="B83" t="s">
        <v>50</v>
      </c>
      <c r="D83" t="s">
        <v>104</v>
      </c>
    </row>
    <row r="84" spans="1:4" x14ac:dyDescent="0.45">
      <c r="A84">
        <v>3</v>
      </c>
      <c r="B84" t="s">
        <v>50</v>
      </c>
      <c r="D84" t="s">
        <v>104</v>
      </c>
    </row>
    <row r="85" spans="1:4" x14ac:dyDescent="0.45">
      <c r="A85">
        <v>7</v>
      </c>
      <c r="B85" t="s">
        <v>50</v>
      </c>
      <c r="D85" t="s">
        <v>104</v>
      </c>
    </row>
    <row r="86" spans="1:4" x14ac:dyDescent="0.45">
      <c r="A86">
        <v>24</v>
      </c>
      <c r="B86" t="s">
        <v>50</v>
      </c>
      <c r="D86" t="s">
        <v>105</v>
      </c>
    </row>
  </sheetData>
  <autoFilter ref="A1:K86" xr:uid="{33DB8BA3-FB9F-4BA8-A68B-0CF07E5663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response_data</vt:lpstr>
      <vt:lpstr>tanks</vt:lpstr>
      <vt:lpstr>tank_pH</vt:lpstr>
      <vt:lpstr>unknown</vt:lpstr>
      <vt:lpstr>kilchoan_young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Calum Young (PGR)</dc:creator>
  <cp:keywords/>
  <dc:description/>
  <cp:lastModifiedBy>Calum Young</cp:lastModifiedBy>
  <cp:revision/>
  <dcterms:created xsi:type="dcterms:W3CDTF">2025-06-06T08:33:24Z</dcterms:created>
  <dcterms:modified xsi:type="dcterms:W3CDTF">2025-09-30T14:53:19Z</dcterms:modified>
  <cp:category/>
  <cp:contentStatus/>
</cp:coreProperties>
</file>